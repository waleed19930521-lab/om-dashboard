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5.PGM\Downloads\"/>
    </mc:Choice>
  </mc:AlternateContent>
  <xr:revisionPtr revIDLastSave="0" documentId="13_ncr:1_{D11F823B-6A65-451D-9B24-57C3BD4C32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PI Register" sheetId="1" r:id="rId1"/>
    <sheet name="Lists" sheetId="2" r:id="rId2"/>
  </sheets>
  <definedNames>
    <definedName name="_xlnm._FilterDatabase" localSheetId="0" hidden="1">'KPI Register'!$A$1:$W$1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6" i="1" l="1"/>
  <c r="T36" i="1"/>
  <c r="U35" i="1"/>
  <c r="T35" i="1"/>
  <c r="U34" i="1"/>
  <c r="T34" i="1"/>
  <c r="U33" i="1"/>
  <c r="T33" i="1"/>
  <c r="U32" i="1"/>
  <c r="T32" i="1"/>
  <c r="U31" i="1"/>
  <c r="T31" i="1"/>
  <c r="U30" i="1"/>
  <c r="T30" i="1"/>
  <c r="U29" i="1"/>
  <c r="T29" i="1"/>
  <c r="U28" i="1"/>
  <c r="T28" i="1"/>
  <c r="U27" i="1"/>
  <c r="T27" i="1"/>
  <c r="U26" i="1"/>
  <c r="T26" i="1"/>
  <c r="U25" i="1"/>
  <c r="T25" i="1"/>
  <c r="U24" i="1"/>
  <c r="T24" i="1"/>
  <c r="U23" i="1"/>
  <c r="T23" i="1"/>
  <c r="U22" i="1"/>
  <c r="T22" i="1"/>
  <c r="U21" i="1"/>
  <c r="T21" i="1"/>
  <c r="U20" i="1"/>
  <c r="T20" i="1"/>
  <c r="U19" i="1"/>
  <c r="T19" i="1"/>
  <c r="U18" i="1"/>
  <c r="T18" i="1"/>
  <c r="U17" i="1"/>
  <c r="T17" i="1"/>
  <c r="U16" i="1"/>
  <c r="T16" i="1"/>
  <c r="U15" i="1"/>
  <c r="T15" i="1"/>
  <c r="U14" i="1"/>
  <c r="T14" i="1"/>
  <c r="U13" i="1"/>
  <c r="T13" i="1"/>
  <c r="U12" i="1"/>
  <c r="T12" i="1"/>
  <c r="U11" i="1"/>
  <c r="T11" i="1"/>
  <c r="U10" i="1"/>
  <c r="T10" i="1"/>
  <c r="U9" i="1"/>
  <c r="T9" i="1"/>
  <c r="U8" i="1"/>
  <c r="T8" i="1"/>
  <c r="U7" i="1"/>
  <c r="T7" i="1"/>
  <c r="U6" i="1"/>
  <c r="T6" i="1"/>
  <c r="U5" i="1"/>
  <c r="T5" i="1"/>
  <c r="U4" i="1"/>
  <c r="T4" i="1"/>
  <c r="U3" i="1"/>
  <c r="T3" i="1"/>
  <c r="U2" i="1"/>
  <c r="T2" i="1"/>
</calcChain>
</file>

<file path=xl/sharedStrings.xml><?xml version="1.0" encoding="utf-8"?>
<sst xmlns="http://schemas.openxmlformats.org/spreadsheetml/2006/main" count="623" uniqueCount="344">
  <si>
    <t>KPI ID</t>
  </si>
  <si>
    <t>KPI Name</t>
  </si>
  <si>
    <t>Domain</t>
  </si>
  <si>
    <t>Subdomain</t>
  </si>
  <si>
    <t>Definition</t>
  </si>
  <si>
    <t>Formula</t>
  </si>
  <si>
    <t>Unit</t>
  </si>
  <si>
    <t>Direction</t>
  </si>
  <si>
    <t>Target</t>
  </si>
  <si>
    <t>Green Threshold</t>
  </si>
  <si>
    <t>Amber Threshold</t>
  </si>
  <si>
    <t>Red Threshold</t>
  </si>
  <si>
    <t>Frequency</t>
  </si>
  <si>
    <t>Owner</t>
  </si>
  <si>
    <t>Data Source</t>
  </si>
  <si>
    <t>Escalation Trigger</t>
  </si>
  <si>
    <t>Corrective Action Owner</t>
  </si>
  <si>
    <t>Reporting Pack</t>
  </si>
  <si>
    <t>Actual (Current)</t>
  </si>
  <si>
    <t>Status</t>
  </si>
  <si>
    <t>Variance</t>
  </si>
  <si>
    <t>Notes</t>
  </si>
  <si>
    <t>Last Updated</t>
  </si>
  <si>
    <t>T-01</t>
  </si>
  <si>
    <t>PM On-Time Completion Rate</t>
  </si>
  <si>
    <t>Technical</t>
  </si>
  <si>
    <t>Preventive Maintenance</t>
  </si>
  <si>
    <t>Timely completion of scheduled preventive maintenance work orders.</t>
  </si>
  <si>
    <t>Completed PM on time ÷ Total scheduled PM × 100</t>
  </si>
  <si>
    <t>%</t>
  </si>
  <si>
    <t>Higher</t>
  </si>
  <si>
    <t>95%</t>
  </si>
  <si>
    <t>Weekly</t>
  </si>
  <si>
    <t>Project Manager</t>
  </si>
  <si>
    <t>&lt;95% weekly or downward trend 2 weeks</t>
  </si>
  <si>
    <t>Monthly Dashboard</t>
  </si>
  <si>
    <t>Contract AQL: ≥95% on-time PM.</t>
  </si>
  <si>
    <t>T-02</t>
  </si>
  <si>
    <t>Weekly Inspection Completion Rate</t>
  </si>
  <si>
    <t>Inspections</t>
  </si>
  <si>
    <t>Timely completion of weekly inspections per plan/AQL.</t>
  </si>
  <si>
    <t>Completed weekly inspections ÷ Planned weekly inspections × 100</t>
  </si>
  <si>
    <t>Site Engineer</t>
  </si>
  <si>
    <t>&lt;95% in any week</t>
  </si>
  <si>
    <t>Weekly Ops Review</t>
  </si>
  <si>
    <t>AQL includes ≥95% weekly inspections.</t>
  </si>
  <si>
    <t>T-03</t>
  </si>
  <si>
    <t>Monthly Asset Inspection Coverage</t>
  </si>
  <si>
    <t>All in-scope assets inspected monthly (coverage).</t>
  </si>
  <si>
    <t>Assets inspected in month ÷ Total in-scope assets × 100</t>
  </si>
  <si>
    <t>100%</t>
  </si>
  <si>
    <t>Monthly</t>
  </si>
  <si>
    <t>&lt;100% coverage</t>
  </si>
  <si>
    <t>Monthly Inspection Pack</t>
  </si>
  <si>
    <t>PWS requires monthly inspection of all items.</t>
  </si>
  <si>
    <t>T-04</t>
  </si>
  <si>
    <t>Emergency Response (≤24h)</t>
  </si>
  <si>
    <t>Corrective Maintenance</t>
  </si>
  <si>
    <t>Urgent calls responded to within 24 hours (unless access denied).</t>
  </si>
  <si>
    <t>Urgent calls responded ≤24h ÷ Total urgent calls × 100</t>
  </si>
  <si>
    <t>Any miss without access-denial justification</t>
  </si>
  <si>
    <t>Program Manager</t>
  </si>
  <si>
    <t>AQL: 100% urgent calls within 24h.</t>
  </si>
  <si>
    <t>90%</t>
  </si>
  <si>
    <t>T-06</t>
  </si>
  <si>
    <t>CM Backlog Aging (Avg Days)</t>
  </si>
  <si>
    <t>Average age of open CM work orders (days).</t>
  </si>
  <si>
    <t>AVERAGE(days open for all open CM WO)</t>
  </si>
  <si>
    <t>Days</t>
  </si>
  <si>
    <t>Lower</t>
  </si>
  <si>
    <t>CMMS backlog report</t>
  </si>
  <si>
    <t>Any emergency WO &gt;2 days; urgent &gt;7 days; routine &gt;30 days</t>
  </si>
  <si>
    <t>Also track by priority class.</t>
  </si>
  <si>
    <t>T-07</t>
  </si>
  <si>
    <t>Critical Asset Availability</t>
  </si>
  <si>
    <t>Reliability</t>
  </si>
  <si>
    <t>Operational availability of critical assets/systems.</t>
  </si>
  <si>
    <t>Operational critical assets ÷ Total critical assets × 100</t>
  </si>
  <si>
    <t>98%</t>
  </si>
  <si>
    <t>Inspection findings / CMMS asset status</t>
  </si>
  <si>
    <t>&lt;95% for any week</t>
  </si>
  <si>
    <t>Define critical asset list in asset register.</t>
  </si>
  <si>
    <t>T-08</t>
  </si>
  <si>
    <t>Repeat Failure Rate (30d)</t>
  </si>
  <si>
    <t>Repeat failures on same asset within 30 days.</t>
  </si>
  <si>
    <t>Repeat failures within 30d ÷ Total failures × 100</t>
  </si>
  <si>
    <t>&lt;10%</t>
  </si>
  <si>
    <t>CMMS asset history</t>
  </si>
  <si>
    <t>&gt;15% or increasing trend 2 months</t>
  </si>
  <si>
    <t>Monthly Reliability Review</t>
  </si>
  <si>
    <t>Trigger RCA for top repeat assets.</t>
  </si>
  <si>
    <t>T-09</t>
  </si>
  <si>
    <t>Planned vs Unplanned Work Ratio</t>
  </si>
  <si>
    <t>Maintenance Strategy</t>
  </si>
  <si>
    <t>Share of planned work (PM+RI) vs all work orders.</t>
  </si>
  <si>
    <t>Planned WO (PM+RI) ÷ Total WO × 100</t>
  </si>
  <si>
    <t>&lt;60%</t>
  </si>
  <si>
    <t>Indicator of proactive maintenance maturity.</t>
  </si>
  <si>
    <t>T-10</t>
  </si>
  <si>
    <t>Weekly Look-Ahead Schedule Adherence</t>
  </si>
  <si>
    <t>Planning</t>
  </si>
  <si>
    <t>Execution of planned activities from weekly look-ahead.</t>
  </si>
  <si>
    <t>Completed planned activities ÷ Total planned activities × 100</t>
  </si>
  <si>
    <t>Weekly look-ahead vs actual report</t>
  </si>
  <si>
    <t>&lt;80%</t>
  </si>
  <si>
    <t>Weekly Planning Review</t>
  </si>
  <si>
    <t>Used for access and disruption management.</t>
  </si>
  <si>
    <t>F-01</t>
  </si>
  <si>
    <t>Budget Utilization (Overall)</t>
  </si>
  <si>
    <t>Financial</t>
  </si>
  <si>
    <t>Cost Control</t>
  </si>
  <si>
    <t>Spending versus approved budget for period.</t>
  </si>
  <si>
    <t>Actual spend ÷ Approved budget × 100</t>
  </si>
  <si>
    <t>≤100%</t>
  </si>
  <si>
    <t>Cost report / finance tracker</t>
  </si>
  <si>
    <t>&gt;105% or burn rate anomaly</t>
  </si>
  <si>
    <t>Monthly Financial Pack</t>
  </si>
  <si>
    <t>Track also by CLIN.</t>
  </si>
  <si>
    <t>F-02</t>
  </si>
  <si>
    <t>Cost Variance by CLIN</t>
  </si>
  <si>
    <t>Variance of actual cost vs budget by contract line item.</t>
  </si>
  <si>
    <t>Actual CLIN cost − Budgeted CLIN cost</t>
  </si>
  <si>
    <t>Currency</t>
  </si>
  <si>
    <t>N/A</t>
  </si>
  <si>
    <t>Within tolerance</t>
  </si>
  <si>
    <t>Cost tracker by CLIN</t>
  </si>
  <si>
    <t>Variance beyond tolerance or NTE risk</t>
  </si>
  <si>
    <t>Set tolerances per CLIN and phase.</t>
  </si>
  <si>
    <t>F-03</t>
  </si>
  <si>
    <t>Forecast Accuracy</t>
  </si>
  <si>
    <t>Forecasting</t>
  </si>
  <si>
    <t>Accuracy of cost forecasts vs actuals.</t>
  </si>
  <si>
    <t>|Forecast − Actual| ÷ Actual × 100</t>
  </si>
  <si>
    <t>≤10%</t>
  </si>
  <si>
    <t>Forecast vs actual report</t>
  </si>
  <si>
    <t xml:space="preserve"> &gt;15%</t>
  </si>
  <si>
    <t>Aim ±5–10% once stable.</t>
  </si>
  <si>
    <t>F-04</t>
  </si>
  <si>
    <t>CM Cost per Work Order</t>
  </si>
  <si>
    <t>Corrective Cost</t>
  </si>
  <si>
    <t>Average corrective maintenance cost per CM work order.</t>
  </si>
  <si>
    <t>Total CM cost ÷ Number of CM WO</t>
  </si>
  <si>
    <t>Trend</t>
  </si>
  <si>
    <t>CM cost log / CMMS</t>
  </si>
  <si>
    <t>Sudden spike vs 3-month average</t>
  </si>
  <si>
    <t>Use to detect abnormal repairs.</t>
  </si>
  <si>
    <t>F-05</t>
  </si>
  <si>
    <t>Procurement Lead Time</t>
  </si>
  <si>
    <t>Procurement</t>
  </si>
  <si>
    <t>Time from request to receipt for parts/materials.</t>
  </si>
  <si>
    <t>Receipt date − request date (days)</t>
  </si>
  <si>
    <t>By category</t>
  </si>
  <si>
    <t>Procurement Lead</t>
  </si>
  <si>
    <t>PO log / inventory receipts</t>
  </si>
  <si>
    <t>Lead time impacting SLA / downtime</t>
  </si>
  <si>
    <t>Supply Chain Pack</t>
  </si>
  <si>
    <t>Track critical parts separately.</t>
  </si>
  <si>
    <t>F-06</t>
  </si>
  <si>
    <t>Invoice Submission Timeliness</t>
  </si>
  <si>
    <t>Invoicing</t>
  </si>
  <si>
    <t>Invoices submitted on time per payment workflow.</t>
  </si>
  <si>
    <t>Invoices submitted on time ÷ Total invoices due × 100</t>
  </si>
  <si>
    <t>Invoice register / WAWF tracking</t>
  </si>
  <si>
    <t>&lt;95%</t>
  </si>
  <si>
    <t>Ensure documentation package completeness.</t>
  </si>
  <si>
    <t>C-01</t>
  </si>
  <si>
    <t>Client Satisfaction Score</t>
  </si>
  <si>
    <t>Client</t>
  </si>
  <si>
    <t>Satisfaction</t>
  </si>
  <si>
    <t>Average COR/end-user satisfaction score (survey).</t>
  </si>
  <si>
    <t>Average rating (1–5)</t>
  </si>
  <si>
    <t>Score</t>
  </si>
  <si>
    <t>≥4.0</t>
  </si>
  <si>
    <t>Survey / meeting feedback</t>
  </si>
  <si>
    <t>&lt;3.5</t>
  </si>
  <si>
    <t>Use consistent survey questions.</t>
  </si>
  <si>
    <t>C-02</t>
  </si>
  <si>
    <t>Complaint Rate</t>
  </si>
  <si>
    <t>Service</t>
  </si>
  <si>
    <t>Number of client complaints received per month.</t>
  </si>
  <si>
    <t>Count of complaints</t>
  </si>
  <si>
    <t>Count</t>
  </si>
  <si>
    <t>Complaint register</t>
  </si>
  <si>
    <t>Increasing trend 2 months</t>
  </si>
  <si>
    <t>Client Service Pack</t>
  </si>
  <si>
    <t>Segment by category (response, quality, access).</t>
  </si>
  <si>
    <t>C-03</t>
  </si>
  <si>
    <t>Complaint Closure Time</t>
  </si>
  <si>
    <t>Average days to close client complaints.</t>
  </si>
  <si>
    <t>AVERAGE(close date − open date)</t>
  </si>
  <si>
    <t>By priority</t>
  </si>
  <si>
    <t>Complaint/action log</t>
  </si>
  <si>
    <t>Overdue complaints</t>
  </si>
  <si>
    <t>Tie to corrective action tracker.</t>
  </si>
  <si>
    <t>C-04</t>
  </si>
  <si>
    <t>Action Item Closure Rate (Client Meetings)</t>
  </si>
  <si>
    <t>Governance</t>
  </si>
  <si>
    <t>Closure rate for actions from COR/client meetings.</t>
  </si>
  <si>
    <t>Closed actions ÷ Total actions × 100</t>
  </si>
  <si>
    <t>MoM action tracker</t>
  </si>
  <si>
    <t>Governance Pack</t>
  </si>
  <si>
    <t>Ensure single action owner and due date.</t>
  </si>
  <si>
    <t>P-01</t>
  </si>
  <si>
    <t>Monthly Inspection Report Timeliness</t>
  </si>
  <si>
    <t>Compliance</t>
  </si>
  <si>
    <t>Reporting</t>
  </si>
  <si>
    <t>Monthly inspection report submitted within required window.</t>
  </si>
  <si>
    <t>Reports on time ÷ Reports due × 100</t>
  </si>
  <si>
    <t>≥90%</t>
  </si>
  <si>
    <t>Transmittal register</t>
  </si>
  <si>
    <t>&lt;90%</t>
  </si>
  <si>
    <t>Monthly Compliance Pack</t>
  </si>
  <si>
    <t>Contract AQL includes ≥90% on-time monthly inspection reports.</t>
  </si>
  <si>
    <t>P-02</t>
  </si>
  <si>
    <t>Procedure / Method / AHA Compliance</t>
  </si>
  <si>
    <t>Procedures</t>
  </si>
  <si>
    <t>Work executed only with approved procedures / AHA when applicable.</t>
  </si>
  <si>
    <t>Compliant work packages ÷ Sampled work packages × 100</t>
  </si>
  <si>
    <t>QC Engineer</t>
  </si>
  <si>
    <t>QC audits / field verification</t>
  </si>
  <si>
    <t>Any non-compliant high-risk work</t>
  </si>
  <si>
    <t>Maintain traceable approvals and records.</t>
  </si>
  <si>
    <t>P-03</t>
  </si>
  <si>
    <t>Documentation Completeness</t>
  </si>
  <si>
    <t>Documentation</t>
  </si>
  <si>
    <t>Work orders and deliverables have complete documentation (photos, checklists, approvals).</t>
  </si>
  <si>
    <t>Complete files ÷ Files reviewed × 100</t>
  </si>
  <si>
    <t>CMMS Admin</t>
  </si>
  <si>
    <t>CMMS audit / file review</t>
  </si>
  <si>
    <t>Key for audit defensibility.</t>
  </si>
  <si>
    <t>Q-01</t>
  </si>
  <si>
    <t>First-Time Quality Pass Rate</t>
  </si>
  <si>
    <t>Quality</t>
  </si>
  <si>
    <t>Work Quality</t>
  </si>
  <si>
    <t>Work accepted without rework upon inspection.</t>
  </si>
  <si>
    <t>Accepted first time ÷ Total inspected × 100</t>
  </si>
  <si>
    <t>Inspection records / NCR log</t>
  </si>
  <si>
    <t>Quality Pack</t>
  </si>
  <si>
    <t>Use with Rework Rate.</t>
  </si>
  <si>
    <t>Q-02</t>
  </si>
  <si>
    <t>Rework Rate</t>
  </si>
  <si>
    <t>Percent of jobs requiring rework.</t>
  </si>
  <si>
    <t>Reworked jobs ÷ Total jobs × 100</t>
  </si>
  <si>
    <t>≤5%</t>
  </si>
  <si>
    <t>NCR / rework log</t>
  </si>
  <si>
    <t>&gt;8%</t>
  </si>
  <si>
    <t>Investigate repeat causes.</t>
  </si>
  <si>
    <t>Q-03</t>
  </si>
  <si>
    <t>Audit Compliance Score</t>
  </si>
  <si>
    <t>Audit</t>
  </si>
  <si>
    <t>Share of audit items compliant.</t>
  </si>
  <si>
    <t>Compliant audit items ÷ Total audit items × 100</t>
  </si>
  <si>
    <t>Quarterly</t>
  </si>
  <si>
    <t>Audit checklist</t>
  </si>
  <si>
    <t>Quarterly Compliance Review</t>
  </si>
  <si>
    <t>Align with QCP audit schedule.</t>
  </si>
  <si>
    <t>Q-04</t>
  </si>
  <si>
    <t>NCR Closure Timeliness</t>
  </si>
  <si>
    <t>Nonconformance</t>
  </si>
  <si>
    <t>NCRs closed within agreed due date.</t>
  </si>
  <si>
    <t>NCR closed on time ÷ Total NCR × 100</t>
  </si>
  <si>
    <t>NCR tracker</t>
  </si>
  <si>
    <t>&lt;80% or any critical NCR overdue</t>
  </si>
  <si>
    <t>Escalate overdue critical NCRs immediately.</t>
  </si>
  <si>
    <t>Q-05</t>
  </si>
  <si>
    <t>Subcontractor Quality Score</t>
  </si>
  <si>
    <t>Subcontractors</t>
  </si>
  <si>
    <t>Compliance score for subcontractor work based on inspections/audits.</t>
  </si>
  <si>
    <t>Compliant subcontractor inspections ÷ Total subcontractor inspections × 100</t>
  </si>
  <si>
    <t>Subcontractor QC log</t>
  </si>
  <si>
    <t>Tie to subcontractor corrective actions.</t>
  </si>
  <si>
    <t>S-01</t>
  </si>
  <si>
    <t>HSE Corrective Action Closure Rate</t>
  </si>
  <si>
    <t>HSE</t>
  </si>
  <si>
    <t>Corrective Actions</t>
  </si>
  <si>
    <t>HSE actions closed within due date.</t>
  </si>
  <si>
    <t>Closed on time ÷ Total HSE actions × 100</t>
  </si>
  <si>
    <t>Safety Officer</t>
  </si>
  <si>
    <t>HSE action log</t>
  </si>
  <si>
    <t>&lt;80% or any high-risk overdue</t>
  </si>
  <si>
    <t>HSE Pack</t>
  </si>
  <si>
    <t>Program manager oversight required.</t>
  </si>
  <si>
    <t>S-02</t>
  </si>
  <si>
    <t>Safety Inspection Completion Rate</t>
  </si>
  <si>
    <t>Completion of planned safety inspections.</t>
  </si>
  <si>
    <t>Completed inspections ÷ Planned inspections × 100</t>
  </si>
  <si>
    <t>Safety inspection register</t>
  </si>
  <si>
    <t>Zero tolerance for missed planned inspections.</t>
  </si>
  <si>
    <t>S-03</t>
  </si>
  <si>
    <t>Incident / Recordable Count</t>
  </si>
  <si>
    <t>Incidents</t>
  </si>
  <si>
    <t>Count of incidents/recordables in period.</t>
  </si>
  <si>
    <t>Number of incidents</t>
  </si>
  <si>
    <t>0</t>
  </si>
  <si>
    <t>Incident log</t>
  </si>
  <si>
    <t>Any recordable incident</t>
  </si>
  <si>
    <t>Use also near-miss reporting for leading indicators.</t>
  </si>
  <si>
    <t>S-04</t>
  </si>
  <si>
    <t>Near Miss Reporting Rate</t>
  </si>
  <si>
    <t>Leading Indicators</t>
  </si>
  <si>
    <t>Near misses reported per period (culture indicator).</t>
  </si>
  <si>
    <t>Number of near misses (or per man-hours)</t>
  </si>
  <si>
    <t>Monitor</t>
  </si>
  <si>
    <t>Near-miss log</t>
  </si>
  <si>
    <t>Sudden unexplained drop to zero</t>
  </si>
  <si>
    <t>Healthy reporting may rise initially.</t>
  </si>
  <si>
    <t>M-01</t>
  </si>
  <si>
    <t>WO Data Quality</t>
  </si>
  <si>
    <t>CMMS</t>
  </si>
  <si>
    <t>Data Discipline</t>
  </si>
  <si>
    <t>Work orders with complete mandatory fields and attachments.</t>
  </si>
  <si>
    <t>WO complete ÷ WO reviewed × 100</t>
  </si>
  <si>
    <t>CMMS audit report</t>
  </si>
  <si>
    <t>CMMS Pack</t>
  </si>
  <si>
    <t>Include photos, checklists, time, parts, closure notes.</t>
  </si>
  <si>
    <t>M-02</t>
  </si>
  <si>
    <t>Inventory Accuracy</t>
  </si>
  <si>
    <t>Inventory</t>
  </si>
  <si>
    <t>Accuracy between physical inventory and CMMS records.</t>
  </si>
  <si>
    <t>Matching items ÷ Items checked × 100</t>
  </si>
  <si>
    <t>Storekeeper</t>
  </si>
  <si>
    <t>Cycle count vs CMMS</t>
  </si>
  <si>
    <t>Critical for parts availability and audit.</t>
  </si>
  <si>
    <t>M-03</t>
  </si>
  <si>
    <t>Stockout Rate (Critical Parts)</t>
  </si>
  <si>
    <t>Stockouts impacting critical work orders.</t>
  </si>
  <si>
    <t>Stockout events ÷ Critical material requests × 100</t>
  </si>
  <si>
    <t>0%</t>
  </si>
  <si>
    <t>WO delay log / inventory log</t>
  </si>
  <si>
    <t>Any critical stockout</t>
  </si>
  <si>
    <t>Prioritize critical system spares.</t>
  </si>
  <si>
    <t>G-01</t>
  </si>
  <si>
    <t>Governance Action Closure Rate</t>
  </si>
  <si>
    <t>Program Control</t>
  </si>
  <si>
    <t>Closure of actions from governance meetings and internal reviews.</t>
  </si>
  <si>
    <t>MoM action register</t>
  </si>
  <si>
    <t>Supports traceability and accountability.</t>
  </si>
  <si>
    <t>Daily</t>
  </si>
  <si>
    <t>Annual</t>
  </si>
  <si>
    <t>UPKEEP (PM REPORT)</t>
  </si>
  <si>
    <t>UPKEEP (RI REPORT)</t>
  </si>
  <si>
    <t xml:space="preserve">Call log </t>
  </si>
  <si>
    <t>UPKEEP  analytics</t>
  </si>
  <si>
    <t>≤15 (routine)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</si>
</sst>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"/>
    <numFmt numFmtId="166" formatCode="\$#,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AA0A6"/>
      </left>
      <right style="thin">
        <color rgb="FF9AA0A6"/>
      </right>
      <top style="thin">
        <color rgb="FF9AA0A6"/>
      </top>
      <bottom style="thin">
        <color rgb="FF9AA0A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65" fontId="2" fillId="3" borderId="1" xfId="0" applyNumberFormat="1" applyFont="1" applyFill="1" applyBorder="1" applyAlignment="1">
      <alignment vertical="top" wrapText="1"/>
    </xf>
    <xf numFmtId="1" fontId="2" fillId="0" borderId="1" xfId="0" applyNumberFormat="1" applyFont="1" applyBorder="1" applyAlignment="1">
      <alignment vertical="top" wrapText="1"/>
    </xf>
    <xf numFmtId="1" fontId="2" fillId="3" borderId="1" xfId="0" applyNumberFormat="1" applyFont="1" applyFill="1" applyBorder="1" applyAlignment="1">
      <alignment vertical="top" wrapText="1"/>
    </xf>
    <xf numFmtId="166" fontId="2" fillId="0" borderId="1" xfId="0" applyNumberFormat="1" applyFont="1" applyBorder="1" applyAlignment="1">
      <alignment vertical="top" wrapText="1"/>
    </xf>
    <xf numFmtId="166" fontId="2" fillId="3" borderId="1" xfId="0" applyNumberFormat="1" applyFont="1" applyFill="1" applyBorder="1" applyAlignment="1">
      <alignment vertical="top" wrapText="1"/>
    </xf>
    <xf numFmtId="0" fontId="3" fillId="0" borderId="0" xfId="0" applyFont="1"/>
    <xf numFmtId="0" fontId="4" fillId="0" borderId="1" xfId="0" applyFont="1" applyBorder="1" applyAlignment="1">
      <alignment vertical="top" wrapText="1"/>
    </xf>
    <xf numFmtId="9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PIRegister" displayName="KPIRegister" ref="A1:W36">
  <autoFilter ref="A1:W36" xr:uid="{00000000-0009-0000-0100-000001000000}">
    <filterColumn colId="2">
      <filters>
        <filter val="Technical"/>
      </filters>
    </filterColumn>
  </autoFilter>
  <tableColumns count="23">
    <tableColumn id="1" xr3:uid="{00000000-0010-0000-0000-000001000000}" name="KPI ID"/>
    <tableColumn id="2" xr3:uid="{00000000-0010-0000-0000-000002000000}" name="KPI Name"/>
    <tableColumn id="3" xr3:uid="{00000000-0010-0000-0000-000003000000}" name="Domain"/>
    <tableColumn id="4" xr3:uid="{00000000-0010-0000-0000-000004000000}" name="Subdomain"/>
    <tableColumn id="5" xr3:uid="{00000000-0010-0000-0000-000005000000}" name="Definition"/>
    <tableColumn id="6" xr3:uid="{00000000-0010-0000-0000-000006000000}" name="Formula"/>
    <tableColumn id="7" xr3:uid="{00000000-0010-0000-0000-000007000000}" name="Unit"/>
    <tableColumn id="8" xr3:uid="{00000000-0010-0000-0000-000008000000}" name="Direction"/>
    <tableColumn id="9" xr3:uid="{00000000-0010-0000-0000-000009000000}" name="Target"/>
    <tableColumn id="10" xr3:uid="{00000000-0010-0000-0000-00000A000000}" name="Green Threshold"/>
    <tableColumn id="11" xr3:uid="{00000000-0010-0000-0000-00000B000000}" name="Amber Threshold"/>
    <tableColumn id="12" xr3:uid="{00000000-0010-0000-0000-00000C000000}" name="Red Threshold"/>
    <tableColumn id="13" xr3:uid="{00000000-0010-0000-0000-00000D000000}" name="Frequency"/>
    <tableColumn id="14" xr3:uid="{00000000-0010-0000-0000-00000E000000}" name="Owner"/>
    <tableColumn id="15" xr3:uid="{00000000-0010-0000-0000-00000F000000}" name="Data Source"/>
    <tableColumn id="16" xr3:uid="{00000000-0010-0000-0000-000010000000}" name="Escalation Trigger"/>
    <tableColumn id="17" xr3:uid="{00000000-0010-0000-0000-000011000000}" name="Corrective Action Owner"/>
    <tableColumn id="18" xr3:uid="{00000000-0010-0000-0000-000012000000}" name="Reporting Pack"/>
    <tableColumn id="19" xr3:uid="{00000000-0010-0000-0000-000013000000}" name="Actual (Current)"/>
    <tableColumn id="20" xr3:uid="{00000000-0010-0000-0000-000014000000}" name="Status"/>
    <tableColumn id="21" xr3:uid="{00000000-0010-0000-0000-000015000000}" name="Variance"/>
    <tableColumn id="22" xr3:uid="{00000000-0010-0000-0000-000016000000}" name="Notes"/>
    <tableColumn id="23" xr3:uid="{00000000-0010-0000-0000-000017000000}" name="Last Upda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"/>
  <sheetViews>
    <sheetView tabSelected="1" workbookViewId="0">
      <selection activeCell="B4" sqref="B4"/>
    </sheetView>
  </sheetViews>
  <sheetFormatPr defaultRowHeight="14.5" x14ac:dyDescent="0.35"/>
  <cols>
    <col min="1" max="1" width="10" customWidth="1"/>
    <col min="2" max="2" width="28" customWidth="1"/>
    <col min="3" max="3" width="16" customWidth="1"/>
    <col min="4" max="4" width="18" customWidth="1"/>
    <col min="5" max="5" width="38" customWidth="1"/>
    <col min="6" max="6" width="30" customWidth="1"/>
    <col min="7" max="8" width="10" customWidth="1"/>
    <col min="9" max="9" width="14" customWidth="1"/>
    <col min="10" max="11" width="16" customWidth="1"/>
    <col min="12" max="12" width="14" customWidth="1"/>
    <col min="13" max="13" width="10" customWidth="1"/>
    <col min="14" max="14" width="20" customWidth="1"/>
    <col min="15" max="15" width="18" customWidth="1"/>
    <col min="16" max="17" width="22" customWidth="1"/>
    <col min="18" max="18" width="19.54296875" customWidth="1"/>
    <col min="19" max="19" width="14" customWidth="1"/>
    <col min="20" max="20" width="10" customWidth="1"/>
    <col min="21" max="21" width="12" customWidth="1"/>
    <col min="22" max="22" width="22" customWidth="1"/>
    <col min="23" max="23" width="12" customWidth="1"/>
  </cols>
  <sheetData>
    <row r="1" spans="1:23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40" customHeight="1" x14ac:dyDescent="0.3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3">
        <v>95</v>
      </c>
      <c r="K2" s="3">
        <v>90</v>
      </c>
      <c r="L2" s="3">
        <v>80</v>
      </c>
      <c r="M2" s="2" t="s">
        <v>32</v>
      </c>
      <c r="N2" s="12" t="s">
        <v>33</v>
      </c>
      <c r="O2" s="12" t="s">
        <v>339</v>
      </c>
      <c r="P2" s="2" t="s">
        <v>34</v>
      </c>
      <c r="Q2" s="2" t="s">
        <v>33</v>
      </c>
      <c r="R2" s="2" t="s">
        <v>35</v>
      </c>
      <c r="S2" s="4"/>
      <c r="T2" s="2" t="str">
        <f t="shared" ref="T2:T36" si="0">IF(S2="","",IF(H2="Higher",IF(S2&gt;=J2,"Green",IF(S2&gt;=K2,"Amber","Red")),IF(H2="Lower",IF(S2&lt;=J2,"Green",IF(S2&lt;=K2,"Amber","Red")),"")))</f>
        <v/>
      </c>
      <c r="U2" s="3" t="str">
        <f t="shared" ref="U2:U36" si="1">IF(S2="","",IF(H2="Higher",S2-J2,IF(H2="Lower",J2-S2,"")))</f>
        <v/>
      </c>
      <c r="V2" s="5" t="s">
        <v>36</v>
      </c>
      <c r="W2" s="6"/>
    </row>
    <row r="3" spans="1:23" ht="40" customHeight="1" x14ac:dyDescent="0.35">
      <c r="A3" s="2" t="s">
        <v>37</v>
      </c>
      <c r="B3" s="2" t="s">
        <v>38</v>
      </c>
      <c r="C3" s="2" t="s">
        <v>25</v>
      </c>
      <c r="D3" s="2" t="s">
        <v>39</v>
      </c>
      <c r="E3" s="2" t="s">
        <v>40</v>
      </c>
      <c r="F3" s="2" t="s">
        <v>41</v>
      </c>
      <c r="G3" s="2" t="s">
        <v>29</v>
      </c>
      <c r="H3" s="2" t="s">
        <v>30</v>
      </c>
      <c r="I3" s="2" t="s">
        <v>31</v>
      </c>
      <c r="J3" s="3">
        <v>95</v>
      </c>
      <c r="K3" s="3">
        <v>90</v>
      </c>
      <c r="L3" s="3">
        <v>80</v>
      </c>
      <c r="M3" s="2" t="s">
        <v>32</v>
      </c>
      <c r="N3" s="12" t="s">
        <v>33</v>
      </c>
      <c r="O3" s="12" t="s">
        <v>340</v>
      </c>
      <c r="P3" s="2" t="s">
        <v>43</v>
      </c>
      <c r="Q3" s="2" t="s">
        <v>33</v>
      </c>
      <c r="R3" s="2" t="s">
        <v>44</v>
      </c>
      <c r="S3" s="4"/>
      <c r="T3" s="2" t="str">
        <f t="shared" si="0"/>
        <v/>
      </c>
      <c r="U3" s="3" t="str">
        <f t="shared" si="1"/>
        <v/>
      </c>
      <c r="V3" s="5" t="s">
        <v>45</v>
      </c>
      <c r="W3" s="6"/>
    </row>
    <row r="4" spans="1:23" ht="29" x14ac:dyDescent="0.35">
      <c r="A4" s="2" t="s">
        <v>46</v>
      </c>
      <c r="B4" s="2" t="s">
        <v>47</v>
      </c>
      <c r="C4" s="2" t="s">
        <v>25</v>
      </c>
      <c r="D4" s="2" t="s">
        <v>39</v>
      </c>
      <c r="E4" s="2" t="s">
        <v>48</v>
      </c>
      <c r="F4" s="2" t="s">
        <v>49</v>
      </c>
      <c r="G4" s="2" t="s">
        <v>29</v>
      </c>
      <c r="H4" s="2" t="s">
        <v>30</v>
      </c>
      <c r="I4" s="2" t="s">
        <v>50</v>
      </c>
      <c r="J4" s="3">
        <v>100</v>
      </c>
      <c r="K4" s="3">
        <v>98</v>
      </c>
      <c r="L4" s="3">
        <v>0</v>
      </c>
      <c r="M4" s="2" t="s">
        <v>51</v>
      </c>
      <c r="N4" s="12" t="s">
        <v>33</v>
      </c>
      <c r="O4" s="12" t="s">
        <v>340</v>
      </c>
      <c r="P4" s="2" t="s">
        <v>52</v>
      </c>
      <c r="Q4" s="2" t="s">
        <v>33</v>
      </c>
      <c r="R4" s="2" t="s">
        <v>53</v>
      </c>
      <c r="S4" s="4"/>
      <c r="T4" s="2" t="str">
        <f t="shared" si="0"/>
        <v/>
      </c>
      <c r="U4" s="3" t="str">
        <f t="shared" si="1"/>
        <v/>
      </c>
      <c r="V4" s="5" t="s">
        <v>54</v>
      </c>
      <c r="W4" s="6"/>
    </row>
    <row r="5" spans="1:23" ht="40" customHeight="1" x14ac:dyDescent="0.35">
      <c r="A5" s="2" t="s">
        <v>55</v>
      </c>
      <c r="B5" s="2" t="s">
        <v>56</v>
      </c>
      <c r="C5" s="2" t="s">
        <v>25</v>
      </c>
      <c r="D5" s="2" t="s">
        <v>57</v>
      </c>
      <c r="E5" s="2" t="s">
        <v>58</v>
      </c>
      <c r="F5" s="2" t="s">
        <v>59</v>
      </c>
      <c r="G5" s="2" t="s">
        <v>29</v>
      </c>
      <c r="H5" s="2" t="s">
        <v>30</v>
      </c>
      <c r="I5" s="2" t="s">
        <v>50</v>
      </c>
      <c r="J5" s="3">
        <v>100</v>
      </c>
      <c r="K5" s="3">
        <v>95</v>
      </c>
      <c r="L5" s="3">
        <v>0</v>
      </c>
      <c r="M5" s="2" t="s">
        <v>32</v>
      </c>
      <c r="N5" s="2" t="s">
        <v>33</v>
      </c>
      <c r="O5" s="12" t="s">
        <v>341</v>
      </c>
      <c r="P5" s="2" t="s">
        <v>60</v>
      </c>
      <c r="Q5" s="2" t="s">
        <v>61</v>
      </c>
      <c r="R5" s="2" t="s">
        <v>35</v>
      </c>
      <c r="S5" s="4"/>
      <c r="T5" s="2" t="str">
        <f t="shared" si="0"/>
        <v/>
      </c>
      <c r="U5" s="3" t="str">
        <f t="shared" si="1"/>
        <v/>
      </c>
      <c r="V5" s="5" t="s">
        <v>62</v>
      </c>
      <c r="W5" s="6"/>
    </row>
    <row r="6" spans="1:23" ht="40" customHeight="1" x14ac:dyDescent="0.35">
      <c r="A6" s="2" t="s">
        <v>64</v>
      </c>
      <c r="B6" s="2" t="s">
        <v>65</v>
      </c>
      <c r="C6" s="2" t="s">
        <v>25</v>
      </c>
      <c r="D6" s="2" t="s">
        <v>57</v>
      </c>
      <c r="E6" s="2" t="s">
        <v>66</v>
      </c>
      <c r="F6" s="2" t="s">
        <v>67</v>
      </c>
      <c r="G6" s="2" t="s">
        <v>68</v>
      </c>
      <c r="H6" s="2" t="s">
        <v>69</v>
      </c>
      <c r="I6" s="12" t="s">
        <v>343</v>
      </c>
      <c r="J6" s="7">
        <v>15</v>
      </c>
      <c r="K6" s="7">
        <v>25</v>
      </c>
      <c r="L6" s="7">
        <v>30</v>
      </c>
      <c r="M6" s="2" t="s">
        <v>32</v>
      </c>
      <c r="N6" s="2" t="s">
        <v>33</v>
      </c>
      <c r="O6" s="2" t="s">
        <v>70</v>
      </c>
      <c r="P6" s="2" t="s">
        <v>71</v>
      </c>
      <c r="Q6" s="2" t="s">
        <v>33</v>
      </c>
      <c r="R6" s="2" t="s">
        <v>44</v>
      </c>
      <c r="S6" s="8"/>
      <c r="T6" s="2" t="str">
        <f t="shared" si="0"/>
        <v/>
      </c>
      <c r="U6" s="7" t="str">
        <f t="shared" si="1"/>
        <v/>
      </c>
      <c r="V6" s="5" t="s">
        <v>72</v>
      </c>
      <c r="W6" s="6"/>
    </row>
    <row r="7" spans="1:23" ht="40" customHeight="1" x14ac:dyDescent="0.35">
      <c r="A7" s="2" t="s">
        <v>73</v>
      </c>
      <c r="B7" s="2" t="s">
        <v>74</v>
      </c>
      <c r="C7" s="2" t="s">
        <v>25</v>
      </c>
      <c r="D7" s="2" t="s">
        <v>75</v>
      </c>
      <c r="E7" s="2" t="s">
        <v>76</v>
      </c>
      <c r="F7" s="2" t="s">
        <v>77</v>
      </c>
      <c r="G7" s="2" t="s">
        <v>29</v>
      </c>
      <c r="H7" s="2" t="s">
        <v>30</v>
      </c>
      <c r="I7" s="2" t="s">
        <v>78</v>
      </c>
      <c r="J7" s="3">
        <v>98</v>
      </c>
      <c r="K7" s="3">
        <v>95</v>
      </c>
      <c r="L7" s="3">
        <v>0</v>
      </c>
      <c r="M7" s="2" t="s">
        <v>32</v>
      </c>
      <c r="N7" s="2" t="s">
        <v>33</v>
      </c>
      <c r="O7" s="2" t="s">
        <v>79</v>
      </c>
      <c r="P7" s="2" t="s">
        <v>80</v>
      </c>
      <c r="Q7" s="2" t="s">
        <v>61</v>
      </c>
      <c r="R7" s="2" t="s">
        <v>35</v>
      </c>
      <c r="S7" s="4"/>
      <c r="T7" s="2" t="str">
        <f t="shared" si="0"/>
        <v/>
      </c>
      <c r="U7" s="3" t="str">
        <f t="shared" si="1"/>
        <v/>
      </c>
      <c r="V7" s="5" t="s">
        <v>81</v>
      </c>
      <c r="W7" s="6"/>
    </row>
    <row r="8" spans="1:23" ht="40" customHeight="1" x14ac:dyDescent="0.35">
      <c r="A8" s="2" t="s">
        <v>82</v>
      </c>
      <c r="B8" s="2" t="s">
        <v>83</v>
      </c>
      <c r="C8" s="2" t="s">
        <v>25</v>
      </c>
      <c r="D8" s="2" t="s">
        <v>75</v>
      </c>
      <c r="E8" s="2" t="s">
        <v>84</v>
      </c>
      <c r="F8" s="2" t="s">
        <v>85</v>
      </c>
      <c r="G8" s="2" t="s">
        <v>29</v>
      </c>
      <c r="H8" s="2" t="s">
        <v>69</v>
      </c>
      <c r="I8" s="2" t="s">
        <v>86</v>
      </c>
      <c r="J8" s="3">
        <v>10</v>
      </c>
      <c r="K8" s="3">
        <v>15</v>
      </c>
      <c r="L8" s="3">
        <v>9999</v>
      </c>
      <c r="M8" s="2" t="s">
        <v>51</v>
      </c>
      <c r="N8" s="2" t="s">
        <v>33</v>
      </c>
      <c r="O8" s="2" t="s">
        <v>87</v>
      </c>
      <c r="P8" s="2" t="s">
        <v>88</v>
      </c>
      <c r="Q8" s="2" t="s">
        <v>61</v>
      </c>
      <c r="R8" s="2" t="s">
        <v>89</v>
      </c>
      <c r="S8" s="4"/>
      <c r="T8" s="2" t="str">
        <f t="shared" si="0"/>
        <v/>
      </c>
      <c r="U8" s="3" t="str">
        <f t="shared" si="1"/>
        <v/>
      </c>
      <c r="V8" s="5" t="s">
        <v>90</v>
      </c>
      <c r="W8" s="6"/>
    </row>
    <row r="9" spans="1:23" ht="40" customHeight="1" x14ac:dyDescent="0.35">
      <c r="A9" s="2" t="s">
        <v>91</v>
      </c>
      <c r="B9" s="2" t="s">
        <v>92</v>
      </c>
      <c r="C9" s="2" t="s">
        <v>25</v>
      </c>
      <c r="D9" s="2" t="s">
        <v>93</v>
      </c>
      <c r="E9" s="2" t="s">
        <v>94</v>
      </c>
      <c r="F9" s="2" t="s">
        <v>95</v>
      </c>
      <c r="G9" s="2" t="s">
        <v>29</v>
      </c>
      <c r="H9" s="2" t="s">
        <v>30</v>
      </c>
      <c r="I9" s="13">
        <v>0.9</v>
      </c>
      <c r="J9" s="3">
        <v>90</v>
      </c>
      <c r="K9" s="3">
        <v>80</v>
      </c>
      <c r="L9" s="3">
        <v>70</v>
      </c>
      <c r="M9" s="2" t="s">
        <v>51</v>
      </c>
      <c r="N9" s="2" t="s">
        <v>61</v>
      </c>
      <c r="O9" s="12" t="s">
        <v>342</v>
      </c>
      <c r="P9" s="2" t="s">
        <v>96</v>
      </c>
      <c r="Q9" s="2" t="s">
        <v>61</v>
      </c>
      <c r="R9" s="2" t="s">
        <v>35</v>
      </c>
      <c r="S9" s="4"/>
      <c r="T9" s="2" t="str">
        <f t="shared" si="0"/>
        <v/>
      </c>
      <c r="U9" s="3" t="str">
        <f t="shared" si="1"/>
        <v/>
      </c>
      <c r="V9" s="5" t="s">
        <v>97</v>
      </c>
      <c r="W9" s="6"/>
    </row>
    <row r="10" spans="1:23" ht="40" customHeight="1" x14ac:dyDescent="0.35">
      <c r="A10" s="2" t="s">
        <v>98</v>
      </c>
      <c r="B10" s="2" t="s">
        <v>99</v>
      </c>
      <c r="C10" s="2" t="s">
        <v>25</v>
      </c>
      <c r="D10" s="2" t="s">
        <v>100</v>
      </c>
      <c r="E10" s="2" t="s">
        <v>101</v>
      </c>
      <c r="F10" s="2" t="s">
        <v>102</v>
      </c>
      <c r="G10" s="2" t="s">
        <v>29</v>
      </c>
      <c r="H10" s="2" t="s">
        <v>30</v>
      </c>
      <c r="I10" s="2" t="s">
        <v>63</v>
      </c>
      <c r="J10" s="3">
        <v>90</v>
      </c>
      <c r="K10" s="3">
        <v>80</v>
      </c>
      <c r="L10" s="3">
        <v>0</v>
      </c>
      <c r="M10" s="2" t="s">
        <v>32</v>
      </c>
      <c r="N10" s="2" t="s">
        <v>33</v>
      </c>
      <c r="O10" s="2" t="s">
        <v>103</v>
      </c>
      <c r="P10" s="2" t="s">
        <v>104</v>
      </c>
      <c r="Q10" s="2" t="s">
        <v>61</v>
      </c>
      <c r="R10" s="2" t="s">
        <v>105</v>
      </c>
      <c r="S10" s="4"/>
      <c r="T10" s="2" t="str">
        <f t="shared" si="0"/>
        <v/>
      </c>
      <c r="U10" s="3" t="str">
        <f t="shared" si="1"/>
        <v/>
      </c>
      <c r="V10" s="5" t="s">
        <v>106</v>
      </c>
      <c r="W10" s="6"/>
    </row>
    <row r="11" spans="1:23" ht="40" hidden="1" customHeight="1" x14ac:dyDescent="0.35">
      <c r="A11" s="2" t="s">
        <v>107</v>
      </c>
      <c r="B11" s="2" t="s">
        <v>108</v>
      </c>
      <c r="C11" s="2" t="s">
        <v>109</v>
      </c>
      <c r="D11" s="2" t="s">
        <v>110</v>
      </c>
      <c r="E11" s="2" t="s">
        <v>111</v>
      </c>
      <c r="F11" s="2" t="s">
        <v>112</v>
      </c>
      <c r="G11" s="2" t="s">
        <v>29</v>
      </c>
      <c r="H11" s="2" t="s">
        <v>69</v>
      </c>
      <c r="I11" s="2" t="s">
        <v>113</v>
      </c>
      <c r="J11" s="3">
        <v>100</v>
      </c>
      <c r="K11" s="3">
        <v>105</v>
      </c>
      <c r="L11" s="3">
        <v>9999</v>
      </c>
      <c r="M11" s="2" t="s">
        <v>51</v>
      </c>
      <c r="N11" s="2" t="s">
        <v>61</v>
      </c>
      <c r="O11" s="2" t="s">
        <v>114</v>
      </c>
      <c r="P11" s="2" t="s">
        <v>115</v>
      </c>
      <c r="Q11" s="2" t="s">
        <v>61</v>
      </c>
      <c r="R11" s="2" t="s">
        <v>116</v>
      </c>
      <c r="S11" s="4"/>
      <c r="T11" s="2" t="str">
        <f t="shared" si="0"/>
        <v/>
      </c>
      <c r="U11" s="3" t="str">
        <f t="shared" si="1"/>
        <v/>
      </c>
      <c r="V11" s="5" t="s">
        <v>117</v>
      </c>
      <c r="W11" s="6"/>
    </row>
    <row r="12" spans="1:23" ht="40" hidden="1" customHeight="1" x14ac:dyDescent="0.35">
      <c r="A12" s="2" t="s">
        <v>118</v>
      </c>
      <c r="B12" s="2" t="s">
        <v>119</v>
      </c>
      <c r="C12" s="2" t="s">
        <v>109</v>
      </c>
      <c r="D12" s="2" t="s">
        <v>110</v>
      </c>
      <c r="E12" s="2" t="s">
        <v>120</v>
      </c>
      <c r="F12" s="2" t="s">
        <v>121</v>
      </c>
      <c r="G12" s="2" t="s">
        <v>122</v>
      </c>
      <c r="H12" s="2" t="s">
        <v>123</v>
      </c>
      <c r="I12" s="2" t="s">
        <v>124</v>
      </c>
      <c r="J12" s="9"/>
      <c r="K12" s="9"/>
      <c r="L12" s="9"/>
      <c r="M12" s="2" t="s">
        <v>51</v>
      </c>
      <c r="N12" s="2" t="s">
        <v>61</v>
      </c>
      <c r="O12" s="2" t="s">
        <v>125</v>
      </c>
      <c r="P12" s="2" t="s">
        <v>126</v>
      </c>
      <c r="Q12" s="2" t="s">
        <v>61</v>
      </c>
      <c r="R12" s="2" t="s">
        <v>116</v>
      </c>
      <c r="S12" s="10"/>
      <c r="T12" s="2" t="str">
        <f t="shared" si="0"/>
        <v/>
      </c>
      <c r="U12" s="9" t="str">
        <f t="shared" si="1"/>
        <v/>
      </c>
      <c r="V12" s="5" t="s">
        <v>127</v>
      </c>
      <c r="W12" s="6"/>
    </row>
    <row r="13" spans="1:23" ht="40" hidden="1" customHeight="1" x14ac:dyDescent="0.35">
      <c r="A13" s="2" t="s">
        <v>128</v>
      </c>
      <c r="B13" s="2" t="s">
        <v>129</v>
      </c>
      <c r="C13" s="2" t="s">
        <v>109</v>
      </c>
      <c r="D13" s="2" t="s">
        <v>130</v>
      </c>
      <c r="E13" s="2" t="s">
        <v>131</v>
      </c>
      <c r="F13" s="2" t="s">
        <v>132</v>
      </c>
      <c r="G13" s="2" t="s">
        <v>29</v>
      </c>
      <c r="H13" s="2" t="s">
        <v>69</v>
      </c>
      <c r="I13" s="2" t="s">
        <v>133</v>
      </c>
      <c r="J13" s="3">
        <v>10</v>
      </c>
      <c r="K13" s="3">
        <v>15</v>
      </c>
      <c r="L13" s="3">
        <v>9999</v>
      </c>
      <c r="M13" s="2" t="s">
        <v>51</v>
      </c>
      <c r="N13" s="2" t="s">
        <v>61</v>
      </c>
      <c r="O13" s="2" t="s">
        <v>134</v>
      </c>
      <c r="P13" s="2" t="s">
        <v>135</v>
      </c>
      <c r="Q13" s="2" t="s">
        <v>61</v>
      </c>
      <c r="R13" s="2" t="s">
        <v>116</v>
      </c>
      <c r="S13" s="4"/>
      <c r="T13" s="2" t="str">
        <f t="shared" si="0"/>
        <v/>
      </c>
      <c r="U13" s="3" t="str">
        <f t="shared" si="1"/>
        <v/>
      </c>
      <c r="V13" s="5" t="s">
        <v>136</v>
      </c>
      <c r="W13" s="6"/>
    </row>
    <row r="14" spans="1:23" ht="40" hidden="1" customHeight="1" x14ac:dyDescent="0.35">
      <c r="A14" s="2" t="s">
        <v>137</v>
      </c>
      <c r="B14" s="2" t="s">
        <v>138</v>
      </c>
      <c r="C14" s="2" t="s">
        <v>109</v>
      </c>
      <c r="D14" s="2" t="s">
        <v>139</v>
      </c>
      <c r="E14" s="2" t="s">
        <v>140</v>
      </c>
      <c r="F14" s="2" t="s">
        <v>141</v>
      </c>
      <c r="G14" s="2" t="s">
        <v>122</v>
      </c>
      <c r="H14" s="2" t="s">
        <v>123</v>
      </c>
      <c r="I14" s="2" t="s">
        <v>142</v>
      </c>
      <c r="J14" s="9"/>
      <c r="K14" s="9"/>
      <c r="L14" s="9"/>
      <c r="M14" s="2" t="s">
        <v>51</v>
      </c>
      <c r="N14" s="2" t="s">
        <v>61</v>
      </c>
      <c r="O14" s="2" t="s">
        <v>143</v>
      </c>
      <c r="P14" s="2" t="s">
        <v>144</v>
      </c>
      <c r="Q14" s="2" t="s">
        <v>61</v>
      </c>
      <c r="R14" s="2" t="s">
        <v>116</v>
      </c>
      <c r="S14" s="10"/>
      <c r="T14" s="2" t="str">
        <f t="shared" si="0"/>
        <v/>
      </c>
      <c r="U14" s="9" t="str">
        <f t="shared" si="1"/>
        <v/>
      </c>
      <c r="V14" s="5" t="s">
        <v>145</v>
      </c>
      <c r="W14" s="6"/>
    </row>
    <row r="15" spans="1:23" ht="40" hidden="1" customHeight="1" x14ac:dyDescent="0.35">
      <c r="A15" s="2" t="s">
        <v>146</v>
      </c>
      <c r="B15" s="2" t="s">
        <v>147</v>
      </c>
      <c r="C15" s="2" t="s">
        <v>109</v>
      </c>
      <c r="D15" s="2" t="s">
        <v>148</v>
      </c>
      <c r="E15" s="2" t="s">
        <v>149</v>
      </c>
      <c r="F15" s="2" t="s">
        <v>150</v>
      </c>
      <c r="G15" s="2" t="s">
        <v>68</v>
      </c>
      <c r="H15" s="2" t="s">
        <v>69</v>
      </c>
      <c r="I15" s="2" t="s">
        <v>151</v>
      </c>
      <c r="J15" s="7"/>
      <c r="K15" s="7"/>
      <c r="L15" s="7"/>
      <c r="M15" s="2" t="s">
        <v>51</v>
      </c>
      <c r="N15" s="2" t="s">
        <v>152</v>
      </c>
      <c r="O15" s="2" t="s">
        <v>153</v>
      </c>
      <c r="P15" s="2" t="s">
        <v>154</v>
      </c>
      <c r="Q15" s="2" t="s">
        <v>33</v>
      </c>
      <c r="R15" s="2" t="s">
        <v>155</v>
      </c>
      <c r="S15" s="8"/>
      <c r="T15" s="2" t="str">
        <f t="shared" si="0"/>
        <v/>
      </c>
      <c r="U15" s="7" t="str">
        <f t="shared" si="1"/>
        <v/>
      </c>
      <c r="V15" s="5" t="s">
        <v>156</v>
      </c>
      <c r="W15" s="6"/>
    </row>
    <row r="16" spans="1:23" ht="40" hidden="1" customHeight="1" x14ac:dyDescent="0.35">
      <c r="A16" s="2" t="s">
        <v>157</v>
      </c>
      <c r="B16" s="2" t="s">
        <v>158</v>
      </c>
      <c r="C16" s="2" t="s">
        <v>109</v>
      </c>
      <c r="D16" s="2" t="s">
        <v>159</v>
      </c>
      <c r="E16" s="2" t="s">
        <v>160</v>
      </c>
      <c r="F16" s="2" t="s">
        <v>161</v>
      </c>
      <c r="G16" s="2" t="s">
        <v>29</v>
      </c>
      <c r="H16" s="2" t="s">
        <v>30</v>
      </c>
      <c r="I16" s="2" t="s">
        <v>50</v>
      </c>
      <c r="J16" s="3">
        <v>100</v>
      </c>
      <c r="K16" s="3">
        <v>95</v>
      </c>
      <c r="L16" s="3">
        <v>0</v>
      </c>
      <c r="M16" s="2" t="s">
        <v>51</v>
      </c>
      <c r="N16" s="2" t="s">
        <v>61</v>
      </c>
      <c r="O16" s="2" t="s">
        <v>162</v>
      </c>
      <c r="P16" s="2" t="s">
        <v>163</v>
      </c>
      <c r="Q16" s="2" t="s">
        <v>61</v>
      </c>
      <c r="R16" s="2" t="s">
        <v>116</v>
      </c>
      <c r="S16" s="4"/>
      <c r="T16" s="2" t="str">
        <f t="shared" si="0"/>
        <v/>
      </c>
      <c r="U16" s="3" t="str">
        <f t="shared" si="1"/>
        <v/>
      </c>
      <c r="V16" s="5" t="s">
        <v>164</v>
      </c>
      <c r="W16" s="6"/>
    </row>
    <row r="17" spans="1:23" ht="40" hidden="1" customHeight="1" x14ac:dyDescent="0.35">
      <c r="A17" s="2" t="s">
        <v>165</v>
      </c>
      <c r="B17" s="2" t="s">
        <v>166</v>
      </c>
      <c r="C17" s="2" t="s">
        <v>167</v>
      </c>
      <c r="D17" s="2" t="s">
        <v>168</v>
      </c>
      <c r="E17" s="2" t="s">
        <v>169</v>
      </c>
      <c r="F17" s="2" t="s">
        <v>170</v>
      </c>
      <c r="G17" s="2" t="s">
        <v>171</v>
      </c>
      <c r="H17" s="2" t="s">
        <v>30</v>
      </c>
      <c r="I17" s="2" t="s">
        <v>172</v>
      </c>
      <c r="J17" s="3">
        <v>4</v>
      </c>
      <c r="K17" s="3">
        <v>3.5</v>
      </c>
      <c r="L17" s="3">
        <v>0</v>
      </c>
      <c r="M17" s="2" t="s">
        <v>51</v>
      </c>
      <c r="N17" s="2" t="s">
        <v>61</v>
      </c>
      <c r="O17" s="2" t="s">
        <v>173</v>
      </c>
      <c r="P17" s="2" t="s">
        <v>174</v>
      </c>
      <c r="Q17" s="2" t="s">
        <v>61</v>
      </c>
      <c r="R17" s="2" t="s">
        <v>35</v>
      </c>
      <c r="S17" s="4"/>
      <c r="T17" s="2" t="str">
        <f t="shared" si="0"/>
        <v/>
      </c>
      <c r="U17" s="3" t="str">
        <f t="shared" si="1"/>
        <v/>
      </c>
      <c r="V17" s="5" t="s">
        <v>175</v>
      </c>
      <c r="W17" s="6"/>
    </row>
    <row r="18" spans="1:23" ht="40" hidden="1" customHeight="1" x14ac:dyDescent="0.35">
      <c r="A18" s="2" t="s">
        <v>176</v>
      </c>
      <c r="B18" s="2" t="s">
        <v>177</v>
      </c>
      <c r="C18" s="2" t="s">
        <v>167</v>
      </c>
      <c r="D18" s="2" t="s">
        <v>178</v>
      </c>
      <c r="E18" s="2" t="s">
        <v>179</v>
      </c>
      <c r="F18" s="2" t="s">
        <v>180</v>
      </c>
      <c r="G18" s="2" t="s">
        <v>181</v>
      </c>
      <c r="H18" s="2" t="s">
        <v>69</v>
      </c>
      <c r="I18" s="2" t="s">
        <v>142</v>
      </c>
      <c r="J18" s="2"/>
      <c r="K18" s="2"/>
      <c r="L18" s="2"/>
      <c r="M18" s="2" t="s">
        <v>51</v>
      </c>
      <c r="N18" s="2" t="s">
        <v>61</v>
      </c>
      <c r="O18" s="2" t="s">
        <v>182</v>
      </c>
      <c r="P18" s="2" t="s">
        <v>183</v>
      </c>
      <c r="Q18" s="2" t="s">
        <v>33</v>
      </c>
      <c r="R18" s="2" t="s">
        <v>184</v>
      </c>
      <c r="S18" s="5"/>
      <c r="T18" s="2" t="str">
        <f t="shared" si="0"/>
        <v/>
      </c>
      <c r="U18" s="2" t="str">
        <f t="shared" si="1"/>
        <v/>
      </c>
      <c r="V18" s="5" t="s">
        <v>185</v>
      </c>
      <c r="W18" s="6"/>
    </row>
    <row r="19" spans="1:23" ht="40" hidden="1" customHeight="1" x14ac:dyDescent="0.35">
      <c r="A19" s="2" t="s">
        <v>186</v>
      </c>
      <c r="B19" s="2" t="s">
        <v>187</v>
      </c>
      <c r="C19" s="2" t="s">
        <v>167</v>
      </c>
      <c r="D19" s="2" t="s">
        <v>178</v>
      </c>
      <c r="E19" s="2" t="s">
        <v>188</v>
      </c>
      <c r="F19" s="2" t="s">
        <v>189</v>
      </c>
      <c r="G19" s="2" t="s">
        <v>68</v>
      </c>
      <c r="H19" s="2" t="s">
        <v>69</v>
      </c>
      <c r="I19" s="2" t="s">
        <v>190</v>
      </c>
      <c r="J19" s="7"/>
      <c r="K19" s="7"/>
      <c r="L19" s="7"/>
      <c r="M19" s="2" t="s">
        <v>51</v>
      </c>
      <c r="N19" s="2" t="s">
        <v>33</v>
      </c>
      <c r="O19" s="2" t="s">
        <v>191</v>
      </c>
      <c r="P19" s="2" t="s">
        <v>192</v>
      </c>
      <c r="Q19" s="2" t="s">
        <v>33</v>
      </c>
      <c r="R19" s="2" t="s">
        <v>184</v>
      </c>
      <c r="S19" s="8"/>
      <c r="T19" s="2" t="str">
        <f t="shared" si="0"/>
        <v/>
      </c>
      <c r="U19" s="7" t="str">
        <f t="shared" si="1"/>
        <v/>
      </c>
      <c r="V19" s="5" t="s">
        <v>193</v>
      </c>
      <c r="W19" s="6"/>
    </row>
    <row r="20" spans="1:23" ht="40" hidden="1" customHeight="1" x14ac:dyDescent="0.35">
      <c r="A20" s="2" t="s">
        <v>194</v>
      </c>
      <c r="B20" s="2" t="s">
        <v>195</v>
      </c>
      <c r="C20" s="2" t="s">
        <v>167</v>
      </c>
      <c r="D20" s="2" t="s">
        <v>196</v>
      </c>
      <c r="E20" s="2" t="s">
        <v>197</v>
      </c>
      <c r="F20" s="2" t="s">
        <v>198</v>
      </c>
      <c r="G20" s="2" t="s">
        <v>29</v>
      </c>
      <c r="H20" s="2" t="s">
        <v>30</v>
      </c>
      <c r="I20" s="2" t="s">
        <v>63</v>
      </c>
      <c r="J20" s="3">
        <v>90</v>
      </c>
      <c r="K20" s="3">
        <v>80</v>
      </c>
      <c r="L20" s="3">
        <v>0</v>
      </c>
      <c r="M20" s="2" t="s">
        <v>51</v>
      </c>
      <c r="N20" s="2" t="s">
        <v>61</v>
      </c>
      <c r="O20" s="2" t="s">
        <v>199</v>
      </c>
      <c r="P20" s="2" t="s">
        <v>104</v>
      </c>
      <c r="Q20" s="2" t="s">
        <v>61</v>
      </c>
      <c r="R20" s="2" t="s">
        <v>200</v>
      </c>
      <c r="S20" s="4"/>
      <c r="T20" s="2" t="str">
        <f t="shared" si="0"/>
        <v/>
      </c>
      <c r="U20" s="3" t="str">
        <f t="shared" si="1"/>
        <v/>
      </c>
      <c r="V20" s="5" t="s">
        <v>201</v>
      </c>
      <c r="W20" s="6"/>
    </row>
    <row r="21" spans="1:23" ht="40" hidden="1" customHeight="1" x14ac:dyDescent="0.35">
      <c r="A21" s="2" t="s">
        <v>202</v>
      </c>
      <c r="B21" s="2" t="s">
        <v>203</v>
      </c>
      <c r="C21" s="2" t="s">
        <v>204</v>
      </c>
      <c r="D21" s="2" t="s">
        <v>205</v>
      </c>
      <c r="E21" s="2" t="s">
        <v>206</v>
      </c>
      <c r="F21" s="2" t="s">
        <v>207</v>
      </c>
      <c r="G21" s="2" t="s">
        <v>29</v>
      </c>
      <c r="H21" s="2" t="s">
        <v>30</v>
      </c>
      <c r="I21" s="2" t="s">
        <v>208</v>
      </c>
      <c r="J21" s="3">
        <v>90</v>
      </c>
      <c r="K21" s="3">
        <v>80</v>
      </c>
      <c r="L21" s="3">
        <v>0</v>
      </c>
      <c r="M21" s="2" t="s">
        <v>51</v>
      </c>
      <c r="N21" s="2" t="s">
        <v>61</v>
      </c>
      <c r="O21" s="2" t="s">
        <v>209</v>
      </c>
      <c r="P21" s="2" t="s">
        <v>210</v>
      </c>
      <c r="Q21" s="2" t="s">
        <v>61</v>
      </c>
      <c r="R21" s="2" t="s">
        <v>211</v>
      </c>
      <c r="S21" s="4"/>
      <c r="T21" s="2" t="str">
        <f t="shared" si="0"/>
        <v/>
      </c>
      <c r="U21" s="3" t="str">
        <f t="shared" si="1"/>
        <v/>
      </c>
      <c r="V21" s="5" t="s">
        <v>212</v>
      </c>
      <c r="W21" s="6"/>
    </row>
    <row r="22" spans="1:23" ht="40" hidden="1" customHeight="1" x14ac:dyDescent="0.35">
      <c r="A22" s="2" t="s">
        <v>213</v>
      </c>
      <c r="B22" s="2" t="s">
        <v>214</v>
      </c>
      <c r="C22" s="2" t="s">
        <v>204</v>
      </c>
      <c r="D22" s="2" t="s">
        <v>215</v>
      </c>
      <c r="E22" s="2" t="s">
        <v>216</v>
      </c>
      <c r="F22" s="2" t="s">
        <v>217</v>
      </c>
      <c r="G22" s="2" t="s">
        <v>29</v>
      </c>
      <c r="H22" s="2" t="s">
        <v>30</v>
      </c>
      <c r="I22" s="2" t="s">
        <v>50</v>
      </c>
      <c r="J22" s="3">
        <v>100</v>
      </c>
      <c r="K22" s="3">
        <v>95</v>
      </c>
      <c r="L22" s="3">
        <v>0</v>
      </c>
      <c r="M22" s="2" t="s">
        <v>51</v>
      </c>
      <c r="N22" s="2" t="s">
        <v>218</v>
      </c>
      <c r="O22" s="2" t="s">
        <v>219</v>
      </c>
      <c r="P22" s="2" t="s">
        <v>220</v>
      </c>
      <c r="Q22" s="2" t="s">
        <v>61</v>
      </c>
      <c r="R22" s="2" t="s">
        <v>211</v>
      </c>
      <c r="S22" s="4"/>
      <c r="T22" s="2" t="str">
        <f t="shared" si="0"/>
        <v/>
      </c>
      <c r="U22" s="3" t="str">
        <f t="shared" si="1"/>
        <v/>
      </c>
      <c r="V22" s="5" t="s">
        <v>221</v>
      </c>
      <c r="W22" s="6"/>
    </row>
    <row r="23" spans="1:23" ht="40" hidden="1" customHeight="1" x14ac:dyDescent="0.35">
      <c r="A23" s="2" t="s">
        <v>222</v>
      </c>
      <c r="B23" s="2" t="s">
        <v>223</v>
      </c>
      <c r="C23" s="2" t="s">
        <v>204</v>
      </c>
      <c r="D23" s="2" t="s">
        <v>224</v>
      </c>
      <c r="E23" s="2" t="s">
        <v>225</v>
      </c>
      <c r="F23" s="2" t="s">
        <v>226</v>
      </c>
      <c r="G23" s="2" t="s">
        <v>29</v>
      </c>
      <c r="H23" s="2" t="s">
        <v>30</v>
      </c>
      <c r="I23" s="2" t="s">
        <v>78</v>
      </c>
      <c r="J23" s="3">
        <v>98</v>
      </c>
      <c r="K23" s="3">
        <v>95</v>
      </c>
      <c r="L23" s="3">
        <v>0</v>
      </c>
      <c r="M23" s="2" t="s">
        <v>51</v>
      </c>
      <c r="N23" s="2" t="s">
        <v>227</v>
      </c>
      <c r="O23" s="2" t="s">
        <v>228</v>
      </c>
      <c r="P23" s="2" t="s">
        <v>163</v>
      </c>
      <c r="Q23" s="2" t="s">
        <v>33</v>
      </c>
      <c r="R23" s="2" t="s">
        <v>211</v>
      </c>
      <c r="S23" s="4"/>
      <c r="T23" s="2" t="str">
        <f t="shared" si="0"/>
        <v/>
      </c>
      <c r="U23" s="3" t="str">
        <f t="shared" si="1"/>
        <v/>
      </c>
      <c r="V23" s="5" t="s">
        <v>229</v>
      </c>
      <c r="W23" s="6"/>
    </row>
    <row r="24" spans="1:23" ht="40" hidden="1" customHeight="1" x14ac:dyDescent="0.35">
      <c r="A24" s="2" t="s">
        <v>230</v>
      </c>
      <c r="B24" s="2" t="s">
        <v>231</v>
      </c>
      <c r="C24" s="2" t="s">
        <v>232</v>
      </c>
      <c r="D24" s="2" t="s">
        <v>233</v>
      </c>
      <c r="E24" s="2" t="s">
        <v>234</v>
      </c>
      <c r="F24" s="2" t="s">
        <v>235</v>
      </c>
      <c r="G24" s="2" t="s">
        <v>29</v>
      </c>
      <c r="H24" s="2" t="s">
        <v>30</v>
      </c>
      <c r="I24" s="2" t="s">
        <v>31</v>
      </c>
      <c r="J24" s="3">
        <v>95</v>
      </c>
      <c r="K24" s="3">
        <v>90</v>
      </c>
      <c r="L24" s="3">
        <v>0</v>
      </c>
      <c r="M24" s="2" t="s">
        <v>51</v>
      </c>
      <c r="N24" s="2" t="s">
        <v>218</v>
      </c>
      <c r="O24" s="2" t="s">
        <v>236</v>
      </c>
      <c r="P24" s="2" t="s">
        <v>210</v>
      </c>
      <c r="Q24" s="2" t="s">
        <v>33</v>
      </c>
      <c r="R24" s="2" t="s">
        <v>237</v>
      </c>
      <c r="S24" s="4"/>
      <c r="T24" s="2" t="str">
        <f t="shared" si="0"/>
        <v/>
      </c>
      <c r="U24" s="3" t="str">
        <f t="shared" si="1"/>
        <v/>
      </c>
      <c r="V24" s="5" t="s">
        <v>238</v>
      </c>
      <c r="W24" s="6"/>
    </row>
    <row r="25" spans="1:23" ht="40" hidden="1" customHeight="1" x14ac:dyDescent="0.35">
      <c r="A25" s="2" t="s">
        <v>239</v>
      </c>
      <c r="B25" s="2" t="s">
        <v>240</v>
      </c>
      <c r="C25" s="2" t="s">
        <v>232</v>
      </c>
      <c r="D25" s="2" t="s">
        <v>233</v>
      </c>
      <c r="E25" s="2" t="s">
        <v>241</v>
      </c>
      <c r="F25" s="2" t="s">
        <v>242</v>
      </c>
      <c r="G25" s="2" t="s">
        <v>29</v>
      </c>
      <c r="H25" s="2" t="s">
        <v>69</v>
      </c>
      <c r="I25" s="2" t="s">
        <v>243</v>
      </c>
      <c r="J25" s="3">
        <v>5</v>
      </c>
      <c r="K25" s="3">
        <v>8</v>
      </c>
      <c r="L25" s="3">
        <v>9999</v>
      </c>
      <c r="M25" s="2" t="s">
        <v>51</v>
      </c>
      <c r="N25" s="2" t="s">
        <v>218</v>
      </c>
      <c r="O25" s="2" t="s">
        <v>244</v>
      </c>
      <c r="P25" s="2" t="s">
        <v>245</v>
      </c>
      <c r="Q25" s="2" t="s">
        <v>33</v>
      </c>
      <c r="R25" s="2" t="s">
        <v>237</v>
      </c>
      <c r="S25" s="4"/>
      <c r="T25" s="2" t="str">
        <f t="shared" si="0"/>
        <v/>
      </c>
      <c r="U25" s="3" t="str">
        <f t="shared" si="1"/>
        <v/>
      </c>
      <c r="V25" s="5" t="s">
        <v>246</v>
      </c>
      <c r="W25" s="6"/>
    </row>
    <row r="26" spans="1:23" ht="40" hidden="1" customHeight="1" x14ac:dyDescent="0.35">
      <c r="A26" s="2" t="s">
        <v>247</v>
      </c>
      <c r="B26" s="2" t="s">
        <v>248</v>
      </c>
      <c r="C26" s="2" t="s">
        <v>232</v>
      </c>
      <c r="D26" s="2" t="s">
        <v>249</v>
      </c>
      <c r="E26" s="2" t="s">
        <v>250</v>
      </c>
      <c r="F26" s="2" t="s">
        <v>251</v>
      </c>
      <c r="G26" s="2" t="s">
        <v>29</v>
      </c>
      <c r="H26" s="2" t="s">
        <v>30</v>
      </c>
      <c r="I26" s="2" t="s">
        <v>31</v>
      </c>
      <c r="J26" s="3">
        <v>95</v>
      </c>
      <c r="K26" s="3">
        <v>90</v>
      </c>
      <c r="L26" s="3">
        <v>0</v>
      </c>
      <c r="M26" s="2" t="s">
        <v>252</v>
      </c>
      <c r="N26" s="2" t="s">
        <v>218</v>
      </c>
      <c r="O26" s="2" t="s">
        <v>253</v>
      </c>
      <c r="P26" s="2" t="s">
        <v>210</v>
      </c>
      <c r="Q26" s="2" t="s">
        <v>61</v>
      </c>
      <c r="R26" s="2" t="s">
        <v>254</v>
      </c>
      <c r="S26" s="4"/>
      <c r="T26" s="2" t="str">
        <f t="shared" si="0"/>
        <v/>
      </c>
      <c r="U26" s="3" t="str">
        <f t="shared" si="1"/>
        <v/>
      </c>
      <c r="V26" s="5" t="s">
        <v>255</v>
      </c>
      <c r="W26" s="6"/>
    </row>
    <row r="27" spans="1:23" ht="40" hidden="1" customHeight="1" x14ac:dyDescent="0.35">
      <c r="A27" s="2" t="s">
        <v>256</v>
      </c>
      <c r="B27" s="2" t="s">
        <v>257</v>
      </c>
      <c r="C27" s="2" t="s">
        <v>232</v>
      </c>
      <c r="D27" s="2" t="s">
        <v>258</v>
      </c>
      <c r="E27" s="2" t="s">
        <v>259</v>
      </c>
      <c r="F27" s="2" t="s">
        <v>260</v>
      </c>
      <c r="G27" s="2" t="s">
        <v>29</v>
      </c>
      <c r="H27" s="2" t="s">
        <v>30</v>
      </c>
      <c r="I27" s="2" t="s">
        <v>63</v>
      </c>
      <c r="J27" s="3">
        <v>90</v>
      </c>
      <c r="K27" s="3">
        <v>80</v>
      </c>
      <c r="L27" s="3">
        <v>0</v>
      </c>
      <c r="M27" s="2" t="s">
        <v>51</v>
      </c>
      <c r="N27" s="2" t="s">
        <v>218</v>
      </c>
      <c r="O27" s="2" t="s">
        <v>261</v>
      </c>
      <c r="P27" s="2" t="s">
        <v>262</v>
      </c>
      <c r="Q27" s="2" t="s">
        <v>61</v>
      </c>
      <c r="R27" s="2" t="s">
        <v>237</v>
      </c>
      <c r="S27" s="4"/>
      <c r="T27" s="2" t="str">
        <f t="shared" si="0"/>
        <v/>
      </c>
      <c r="U27" s="3" t="str">
        <f t="shared" si="1"/>
        <v/>
      </c>
      <c r="V27" s="5" t="s">
        <v>263</v>
      </c>
      <c r="W27" s="6"/>
    </row>
    <row r="28" spans="1:23" ht="40" hidden="1" customHeight="1" x14ac:dyDescent="0.35">
      <c r="A28" s="2" t="s">
        <v>264</v>
      </c>
      <c r="B28" s="2" t="s">
        <v>265</v>
      </c>
      <c r="C28" s="2" t="s">
        <v>232</v>
      </c>
      <c r="D28" s="2" t="s">
        <v>266</v>
      </c>
      <c r="E28" s="2" t="s">
        <v>267</v>
      </c>
      <c r="F28" s="2" t="s">
        <v>268</v>
      </c>
      <c r="G28" s="2" t="s">
        <v>29</v>
      </c>
      <c r="H28" s="2" t="s">
        <v>30</v>
      </c>
      <c r="I28" s="2" t="s">
        <v>31</v>
      </c>
      <c r="J28" s="3">
        <v>95</v>
      </c>
      <c r="K28" s="3">
        <v>90</v>
      </c>
      <c r="L28" s="3">
        <v>0</v>
      </c>
      <c r="M28" s="2" t="s">
        <v>51</v>
      </c>
      <c r="N28" s="2" t="s">
        <v>218</v>
      </c>
      <c r="O28" s="2" t="s">
        <v>269</v>
      </c>
      <c r="P28" s="2" t="s">
        <v>210</v>
      </c>
      <c r="Q28" s="2" t="s">
        <v>33</v>
      </c>
      <c r="R28" s="2" t="s">
        <v>237</v>
      </c>
      <c r="S28" s="4"/>
      <c r="T28" s="2" t="str">
        <f t="shared" si="0"/>
        <v/>
      </c>
      <c r="U28" s="3" t="str">
        <f t="shared" si="1"/>
        <v/>
      </c>
      <c r="V28" s="5" t="s">
        <v>270</v>
      </c>
      <c r="W28" s="6"/>
    </row>
    <row r="29" spans="1:23" ht="40" hidden="1" customHeight="1" x14ac:dyDescent="0.35">
      <c r="A29" s="2" t="s">
        <v>271</v>
      </c>
      <c r="B29" s="2" t="s">
        <v>272</v>
      </c>
      <c r="C29" s="2" t="s">
        <v>273</v>
      </c>
      <c r="D29" s="2" t="s">
        <v>274</v>
      </c>
      <c r="E29" s="2" t="s">
        <v>275</v>
      </c>
      <c r="F29" s="2" t="s">
        <v>276</v>
      </c>
      <c r="G29" s="2" t="s">
        <v>29</v>
      </c>
      <c r="H29" s="2" t="s">
        <v>30</v>
      </c>
      <c r="I29" s="2" t="s">
        <v>63</v>
      </c>
      <c r="J29" s="3">
        <v>90</v>
      </c>
      <c r="K29" s="3">
        <v>80</v>
      </c>
      <c r="L29" s="3">
        <v>0</v>
      </c>
      <c r="M29" s="2" t="s">
        <v>32</v>
      </c>
      <c r="N29" s="2" t="s">
        <v>277</v>
      </c>
      <c r="O29" s="2" t="s">
        <v>278</v>
      </c>
      <c r="P29" s="2" t="s">
        <v>279</v>
      </c>
      <c r="Q29" s="2" t="s">
        <v>61</v>
      </c>
      <c r="R29" s="2" t="s">
        <v>280</v>
      </c>
      <c r="S29" s="4"/>
      <c r="T29" s="2" t="str">
        <f t="shared" si="0"/>
        <v/>
      </c>
      <c r="U29" s="3" t="str">
        <f t="shared" si="1"/>
        <v/>
      </c>
      <c r="V29" s="5" t="s">
        <v>281</v>
      </c>
      <c r="W29" s="6"/>
    </row>
    <row r="30" spans="1:23" ht="40" hidden="1" customHeight="1" x14ac:dyDescent="0.35">
      <c r="A30" s="2" t="s">
        <v>282</v>
      </c>
      <c r="B30" s="2" t="s">
        <v>283</v>
      </c>
      <c r="C30" s="2" t="s">
        <v>273</v>
      </c>
      <c r="D30" s="2" t="s">
        <v>39</v>
      </c>
      <c r="E30" s="2" t="s">
        <v>284</v>
      </c>
      <c r="F30" s="2" t="s">
        <v>285</v>
      </c>
      <c r="G30" s="2" t="s">
        <v>29</v>
      </c>
      <c r="H30" s="2" t="s">
        <v>30</v>
      </c>
      <c r="I30" s="2" t="s">
        <v>50</v>
      </c>
      <c r="J30" s="3">
        <v>100</v>
      </c>
      <c r="K30" s="3">
        <v>95</v>
      </c>
      <c r="L30" s="3">
        <v>0</v>
      </c>
      <c r="M30" s="2" t="s">
        <v>32</v>
      </c>
      <c r="N30" s="2" t="s">
        <v>277</v>
      </c>
      <c r="O30" s="2" t="s">
        <v>286</v>
      </c>
      <c r="P30" s="2" t="s">
        <v>163</v>
      </c>
      <c r="Q30" s="2" t="s">
        <v>61</v>
      </c>
      <c r="R30" s="2" t="s">
        <v>280</v>
      </c>
      <c r="S30" s="4"/>
      <c r="T30" s="2" t="str">
        <f t="shared" si="0"/>
        <v/>
      </c>
      <c r="U30" s="3" t="str">
        <f t="shared" si="1"/>
        <v/>
      </c>
      <c r="V30" s="5" t="s">
        <v>287</v>
      </c>
      <c r="W30" s="6"/>
    </row>
    <row r="31" spans="1:23" ht="40" hidden="1" customHeight="1" x14ac:dyDescent="0.35">
      <c r="A31" s="2" t="s">
        <v>288</v>
      </c>
      <c r="B31" s="2" t="s">
        <v>289</v>
      </c>
      <c r="C31" s="2" t="s">
        <v>273</v>
      </c>
      <c r="D31" s="2" t="s">
        <v>290</v>
      </c>
      <c r="E31" s="2" t="s">
        <v>291</v>
      </c>
      <c r="F31" s="2" t="s">
        <v>292</v>
      </c>
      <c r="G31" s="2" t="s">
        <v>181</v>
      </c>
      <c r="H31" s="2" t="s">
        <v>69</v>
      </c>
      <c r="I31" s="2" t="s">
        <v>293</v>
      </c>
      <c r="J31" s="2">
        <v>0</v>
      </c>
      <c r="K31" s="2">
        <v>1</v>
      </c>
      <c r="L31" s="2">
        <v>9999</v>
      </c>
      <c r="M31" s="2" t="s">
        <v>51</v>
      </c>
      <c r="N31" s="2" t="s">
        <v>277</v>
      </c>
      <c r="O31" s="2" t="s">
        <v>294</v>
      </c>
      <c r="P31" s="2" t="s">
        <v>295</v>
      </c>
      <c r="Q31" s="2" t="s">
        <v>61</v>
      </c>
      <c r="R31" s="2" t="s">
        <v>35</v>
      </c>
      <c r="S31" s="5"/>
      <c r="T31" s="2" t="str">
        <f t="shared" si="0"/>
        <v/>
      </c>
      <c r="U31" s="2" t="str">
        <f t="shared" si="1"/>
        <v/>
      </c>
      <c r="V31" s="5" t="s">
        <v>296</v>
      </c>
      <c r="W31" s="6"/>
    </row>
    <row r="32" spans="1:23" ht="40" hidden="1" customHeight="1" x14ac:dyDescent="0.35">
      <c r="A32" s="2" t="s">
        <v>297</v>
      </c>
      <c r="B32" s="2" t="s">
        <v>298</v>
      </c>
      <c r="C32" s="2" t="s">
        <v>273</v>
      </c>
      <c r="D32" s="2" t="s">
        <v>299</v>
      </c>
      <c r="E32" s="2" t="s">
        <v>300</v>
      </c>
      <c r="F32" s="2" t="s">
        <v>301</v>
      </c>
      <c r="G32" s="2" t="s">
        <v>181</v>
      </c>
      <c r="H32" s="2" t="s">
        <v>123</v>
      </c>
      <c r="I32" s="2" t="s">
        <v>302</v>
      </c>
      <c r="J32" s="2"/>
      <c r="K32" s="2"/>
      <c r="L32" s="2"/>
      <c r="M32" s="2" t="s">
        <v>51</v>
      </c>
      <c r="N32" s="2" t="s">
        <v>277</v>
      </c>
      <c r="O32" s="2" t="s">
        <v>303</v>
      </c>
      <c r="P32" s="2" t="s">
        <v>304</v>
      </c>
      <c r="Q32" s="2" t="s">
        <v>61</v>
      </c>
      <c r="R32" s="2" t="s">
        <v>280</v>
      </c>
      <c r="S32" s="5"/>
      <c r="T32" s="2" t="str">
        <f t="shared" si="0"/>
        <v/>
      </c>
      <c r="U32" s="2" t="str">
        <f t="shared" si="1"/>
        <v/>
      </c>
      <c r="V32" s="5" t="s">
        <v>305</v>
      </c>
      <c r="W32" s="6"/>
    </row>
    <row r="33" spans="1:23" ht="40" hidden="1" customHeight="1" x14ac:dyDescent="0.35">
      <c r="A33" s="2" t="s">
        <v>306</v>
      </c>
      <c r="B33" s="2" t="s">
        <v>307</v>
      </c>
      <c r="C33" s="2" t="s">
        <v>308</v>
      </c>
      <c r="D33" s="2" t="s">
        <v>309</v>
      </c>
      <c r="E33" s="2" t="s">
        <v>310</v>
      </c>
      <c r="F33" s="2" t="s">
        <v>311</v>
      </c>
      <c r="G33" s="2" t="s">
        <v>29</v>
      </c>
      <c r="H33" s="2" t="s">
        <v>30</v>
      </c>
      <c r="I33" s="2" t="s">
        <v>78</v>
      </c>
      <c r="J33" s="3">
        <v>98</v>
      </c>
      <c r="K33" s="3">
        <v>95</v>
      </c>
      <c r="L33" s="3">
        <v>0</v>
      </c>
      <c r="M33" s="2" t="s">
        <v>32</v>
      </c>
      <c r="N33" s="2" t="s">
        <v>227</v>
      </c>
      <c r="O33" s="2" t="s">
        <v>312</v>
      </c>
      <c r="P33" s="2" t="s">
        <v>163</v>
      </c>
      <c r="Q33" s="2" t="s">
        <v>33</v>
      </c>
      <c r="R33" s="2" t="s">
        <v>313</v>
      </c>
      <c r="S33" s="4"/>
      <c r="T33" s="2" t="str">
        <f t="shared" si="0"/>
        <v/>
      </c>
      <c r="U33" s="3" t="str">
        <f t="shared" si="1"/>
        <v/>
      </c>
      <c r="V33" s="5" t="s">
        <v>314</v>
      </c>
      <c r="W33" s="6"/>
    </row>
    <row r="34" spans="1:23" ht="40" hidden="1" customHeight="1" x14ac:dyDescent="0.35">
      <c r="A34" s="2" t="s">
        <v>315</v>
      </c>
      <c r="B34" s="2" t="s">
        <v>316</v>
      </c>
      <c r="C34" s="2" t="s">
        <v>308</v>
      </c>
      <c r="D34" s="2" t="s">
        <v>317</v>
      </c>
      <c r="E34" s="2" t="s">
        <v>318</v>
      </c>
      <c r="F34" s="2" t="s">
        <v>319</v>
      </c>
      <c r="G34" s="2" t="s">
        <v>29</v>
      </c>
      <c r="H34" s="2" t="s">
        <v>30</v>
      </c>
      <c r="I34" s="2" t="s">
        <v>78</v>
      </c>
      <c r="J34" s="3">
        <v>98</v>
      </c>
      <c r="K34" s="3">
        <v>95</v>
      </c>
      <c r="L34" s="3">
        <v>0</v>
      </c>
      <c r="M34" s="2" t="s">
        <v>51</v>
      </c>
      <c r="N34" s="2" t="s">
        <v>320</v>
      </c>
      <c r="O34" s="2" t="s">
        <v>321</v>
      </c>
      <c r="P34" s="2" t="s">
        <v>163</v>
      </c>
      <c r="Q34" s="2" t="s">
        <v>61</v>
      </c>
      <c r="R34" s="2" t="s">
        <v>155</v>
      </c>
      <c r="S34" s="4"/>
      <c r="T34" s="2" t="str">
        <f t="shared" si="0"/>
        <v/>
      </c>
      <c r="U34" s="3" t="str">
        <f t="shared" si="1"/>
        <v/>
      </c>
      <c r="V34" s="5" t="s">
        <v>322</v>
      </c>
      <c r="W34" s="6"/>
    </row>
    <row r="35" spans="1:23" ht="40" hidden="1" customHeight="1" x14ac:dyDescent="0.35">
      <c r="A35" s="2" t="s">
        <v>323</v>
      </c>
      <c r="B35" s="2" t="s">
        <v>324</v>
      </c>
      <c r="C35" s="2" t="s">
        <v>308</v>
      </c>
      <c r="D35" s="2" t="s">
        <v>317</v>
      </c>
      <c r="E35" s="2" t="s">
        <v>325</v>
      </c>
      <c r="F35" s="2" t="s">
        <v>326</v>
      </c>
      <c r="G35" s="2" t="s">
        <v>29</v>
      </c>
      <c r="H35" s="2" t="s">
        <v>69</v>
      </c>
      <c r="I35" s="2" t="s">
        <v>327</v>
      </c>
      <c r="J35" s="3">
        <v>0</v>
      </c>
      <c r="K35" s="3">
        <v>2</v>
      </c>
      <c r="L35" s="3">
        <v>9999</v>
      </c>
      <c r="M35" s="2" t="s">
        <v>51</v>
      </c>
      <c r="N35" s="2" t="s">
        <v>320</v>
      </c>
      <c r="O35" s="2" t="s">
        <v>328</v>
      </c>
      <c r="P35" s="2" t="s">
        <v>329</v>
      </c>
      <c r="Q35" s="2" t="s">
        <v>61</v>
      </c>
      <c r="R35" s="2" t="s">
        <v>155</v>
      </c>
      <c r="S35" s="4"/>
      <c r="T35" s="2" t="str">
        <f t="shared" si="0"/>
        <v/>
      </c>
      <c r="U35" s="3" t="str">
        <f t="shared" si="1"/>
        <v/>
      </c>
      <c r="V35" s="5" t="s">
        <v>330</v>
      </c>
      <c r="W35" s="6"/>
    </row>
    <row r="36" spans="1:23" ht="40" hidden="1" customHeight="1" x14ac:dyDescent="0.35">
      <c r="A36" s="2" t="s">
        <v>331</v>
      </c>
      <c r="B36" s="2" t="s">
        <v>332</v>
      </c>
      <c r="C36" s="2" t="s">
        <v>196</v>
      </c>
      <c r="D36" s="2" t="s">
        <v>333</v>
      </c>
      <c r="E36" s="2" t="s">
        <v>334</v>
      </c>
      <c r="F36" s="2" t="s">
        <v>198</v>
      </c>
      <c r="G36" s="2" t="s">
        <v>29</v>
      </c>
      <c r="H36" s="2" t="s">
        <v>30</v>
      </c>
      <c r="I36" s="2" t="s">
        <v>63</v>
      </c>
      <c r="J36" s="3">
        <v>90</v>
      </c>
      <c r="K36" s="3">
        <v>80</v>
      </c>
      <c r="L36" s="3">
        <v>0</v>
      </c>
      <c r="M36" s="2" t="s">
        <v>32</v>
      </c>
      <c r="N36" s="2" t="s">
        <v>61</v>
      </c>
      <c r="O36" s="2" t="s">
        <v>335</v>
      </c>
      <c r="P36" s="2" t="s">
        <v>104</v>
      </c>
      <c r="Q36" s="2" t="s">
        <v>61</v>
      </c>
      <c r="R36" s="2" t="s">
        <v>200</v>
      </c>
      <c r="S36" s="4"/>
      <c r="T36" s="2" t="str">
        <f t="shared" si="0"/>
        <v/>
      </c>
      <c r="U36" s="3" t="str">
        <f t="shared" si="1"/>
        <v/>
      </c>
      <c r="V36" s="5" t="s">
        <v>336</v>
      </c>
      <c r="W36" s="6"/>
    </row>
  </sheetData>
  <conditionalFormatting sqref="T2:T36">
    <cfRule type="expression" dxfId="2" priority="4">
      <formula>T2="Green"</formula>
    </cfRule>
    <cfRule type="expression" dxfId="1" priority="5">
      <formula>T2="Amber"</formula>
    </cfRule>
    <cfRule type="expression" dxfId="0" priority="6">
      <formula>T2="Red"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9"/>
  <sheetViews>
    <sheetView workbookViewId="0">
      <selection activeCell="A3" sqref="A3"/>
    </sheetView>
  </sheetViews>
  <sheetFormatPr defaultRowHeight="14.5" x14ac:dyDescent="0.35"/>
  <cols>
    <col min="1" max="1" width="30" customWidth="1"/>
  </cols>
  <sheetData>
    <row r="1" spans="1:1" x14ac:dyDescent="0.35">
      <c r="A1" s="11" t="s">
        <v>2</v>
      </c>
    </row>
    <row r="2" spans="1:1" x14ac:dyDescent="0.35">
      <c r="A2" t="s">
        <v>25</v>
      </c>
    </row>
    <row r="3" spans="1:1" x14ac:dyDescent="0.35">
      <c r="A3" t="s">
        <v>109</v>
      </c>
    </row>
    <row r="4" spans="1:1" x14ac:dyDescent="0.35">
      <c r="A4" t="s">
        <v>167</v>
      </c>
    </row>
    <row r="5" spans="1:1" x14ac:dyDescent="0.35">
      <c r="A5" t="s">
        <v>204</v>
      </c>
    </row>
    <row r="6" spans="1:1" x14ac:dyDescent="0.35">
      <c r="A6" t="s">
        <v>232</v>
      </c>
    </row>
    <row r="7" spans="1:1" x14ac:dyDescent="0.35">
      <c r="A7" t="s">
        <v>273</v>
      </c>
    </row>
    <row r="8" spans="1:1" x14ac:dyDescent="0.35">
      <c r="A8" t="s">
        <v>308</v>
      </c>
    </row>
    <row r="9" spans="1:1" x14ac:dyDescent="0.35">
      <c r="A9" t="s">
        <v>196</v>
      </c>
    </row>
    <row r="12" spans="1:1" x14ac:dyDescent="0.35">
      <c r="A12" s="11" t="s">
        <v>7</v>
      </c>
    </row>
    <row r="13" spans="1:1" x14ac:dyDescent="0.35">
      <c r="A13" t="s">
        <v>30</v>
      </c>
    </row>
    <row r="14" spans="1:1" x14ac:dyDescent="0.35">
      <c r="A14" t="s">
        <v>69</v>
      </c>
    </row>
    <row r="15" spans="1:1" x14ac:dyDescent="0.35">
      <c r="A15" t="s">
        <v>123</v>
      </c>
    </row>
    <row r="18" spans="1:1" x14ac:dyDescent="0.35">
      <c r="A18" s="11" t="s">
        <v>12</v>
      </c>
    </row>
    <row r="19" spans="1:1" x14ac:dyDescent="0.35">
      <c r="A19" t="s">
        <v>337</v>
      </c>
    </row>
    <row r="20" spans="1:1" x14ac:dyDescent="0.35">
      <c r="A20" t="s">
        <v>32</v>
      </c>
    </row>
    <row r="21" spans="1:1" x14ac:dyDescent="0.35">
      <c r="A21" t="s">
        <v>51</v>
      </c>
    </row>
    <row r="22" spans="1:1" x14ac:dyDescent="0.35">
      <c r="A22" t="s">
        <v>252</v>
      </c>
    </row>
    <row r="23" spans="1:1" x14ac:dyDescent="0.35">
      <c r="A23" t="s">
        <v>338</v>
      </c>
    </row>
    <row r="26" spans="1:1" x14ac:dyDescent="0.35">
      <c r="A26" s="11" t="s">
        <v>13</v>
      </c>
    </row>
    <row r="27" spans="1:1" x14ac:dyDescent="0.35">
      <c r="A27" t="s">
        <v>61</v>
      </c>
    </row>
    <row r="28" spans="1:1" x14ac:dyDescent="0.35">
      <c r="A28" t="s">
        <v>33</v>
      </c>
    </row>
    <row r="29" spans="1:1" x14ac:dyDescent="0.35">
      <c r="A29" t="s">
        <v>42</v>
      </c>
    </row>
    <row r="30" spans="1:1" x14ac:dyDescent="0.35">
      <c r="A30" t="s">
        <v>218</v>
      </c>
    </row>
    <row r="31" spans="1:1" x14ac:dyDescent="0.35">
      <c r="A31" t="s">
        <v>277</v>
      </c>
    </row>
    <row r="32" spans="1:1" x14ac:dyDescent="0.35">
      <c r="A32" t="s">
        <v>227</v>
      </c>
    </row>
    <row r="33" spans="1:1" x14ac:dyDescent="0.35">
      <c r="A33" t="s">
        <v>320</v>
      </c>
    </row>
    <row r="34" spans="1:1" x14ac:dyDescent="0.35">
      <c r="A34" t="s">
        <v>152</v>
      </c>
    </row>
    <row r="37" spans="1:1" x14ac:dyDescent="0.35">
      <c r="A37" s="11" t="s">
        <v>17</v>
      </c>
    </row>
    <row r="38" spans="1:1" x14ac:dyDescent="0.35">
      <c r="A38" t="s">
        <v>35</v>
      </c>
    </row>
    <row r="39" spans="1:1" x14ac:dyDescent="0.35">
      <c r="A39" t="s">
        <v>44</v>
      </c>
    </row>
    <row r="40" spans="1:1" x14ac:dyDescent="0.35">
      <c r="A40" t="s">
        <v>53</v>
      </c>
    </row>
    <row r="41" spans="1:1" x14ac:dyDescent="0.35">
      <c r="A41" t="s">
        <v>116</v>
      </c>
    </row>
    <row r="42" spans="1:1" x14ac:dyDescent="0.35">
      <c r="A42" t="s">
        <v>237</v>
      </c>
    </row>
    <row r="43" spans="1:1" x14ac:dyDescent="0.35">
      <c r="A43" t="s">
        <v>280</v>
      </c>
    </row>
    <row r="44" spans="1:1" x14ac:dyDescent="0.35">
      <c r="A44" t="s">
        <v>155</v>
      </c>
    </row>
    <row r="45" spans="1:1" x14ac:dyDescent="0.35">
      <c r="A45" t="s">
        <v>313</v>
      </c>
    </row>
    <row r="46" spans="1:1" x14ac:dyDescent="0.35">
      <c r="A46" t="s">
        <v>200</v>
      </c>
    </row>
    <row r="47" spans="1:1" x14ac:dyDescent="0.35">
      <c r="A47" t="s">
        <v>184</v>
      </c>
    </row>
    <row r="48" spans="1:1" x14ac:dyDescent="0.35">
      <c r="A48" t="s">
        <v>89</v>
      </c>
    </row>
    <row r="49" spans="1:1" x14ac:dyDescent="0.35">
      <c r="A49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Register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F5 Program Manager</cp:lastModifiedBy>
  <dcterms:modified xsi:type="dcterms:W3CDTF">2026-03-08T11:57:21Z</dcterms:modified>
</cp:coreProperties>
</file>